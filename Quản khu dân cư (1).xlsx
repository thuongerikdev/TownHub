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ng tính1" sheetId="1" state="visible" r:id="rId1"/>
    <sheet xmlns:r="http://schemas.openxmlformats.org/officeDocument/2006/relationships" name="Trang tính2" sheetId="2" state="visible" r:id="rId2"/>
    <sheet xmlns:r="http://schemas.openxmlformats.org/officeDocument/2006/relationships" name="Trang tính3" sheetId="3" state="visible" r:id="rId3"/>
    <sheet xmlns:r="http://schemas.openxmlformats.org/officeDocument/2006/relationships" name="Trang tính4" sheetId="4" state="visible" r:id="rId4"/>
    <sheet xmlns:r="http://schemas.openxmlformats.org/officeDocument/2006/relationships" name="Trang tính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d/m"/>
    <numFmt numFmtId="166" formatCode="yyyy-mm-dd h:mm:ss"/>
  </numFmts>
  <fonts count="43">
    <font>
      <name val="Arial"/>
      <color rgb="FF000000"/>
      <sz val="10"/>
      <scheme val="minor"/>
    </font>
    <font>
      <name val="Arial"/>
      <b val="1"/>
      <color rgb="FFFFFFFF"/>
      <sz val="13"/>
    </font>
    <font>
      <name val="Arial"/>
      <color theme="1"/>
      <scheme val="minor"/>
    </font>
    <font>
      <name val="Arial"/>
      <b val="1"/>
      <color rgb="FFFFFFFF"/>
      <sz val="12"/>
    </font>
    <font>
      <name val="Arial"/>
      <b val="1"/>
      <color rgb="FFFFFFFF"/>
      <sz val="9"/>
    </font>
    <font/>
    <font>
      <name val="Arial"/>
      <b val="1"/>
      <color rgb="FFFFFFFF"/>
      <sz val="11"/>
    </font>
    <font>
      <name val="Arial"/>
      <i val="1"/>
      <color rgb="FF444444"/>
      <sz val="9"/>
    </font>
    <font>
      <name val="Arial"/>
      <b val="1"/>
      <color rgb="FF000000"/>
    </font>
    <font>
      <name val="Arial"/>
      <b val="1"/>
      <color rgb="FFFFFFFF"/>
    </font>
    <font>
      <name val="Arial"/>
      <color rgb="FF000000"/>
    </font>
    <font>
      <name val="Arial"/>
      <b val="1"/>
      <color rgb="FF1F4E79"/>
    </font>
    <font>
      <name val="Calibri"/>
      <color rgb="FF000000"/>
      <sz val="11"/>
    </font>
    <font>
      <name val="Arial"/>
      <color rgb="FF222222"/>
    </font>
    <font>
      <name val="Arial"/>
      <color rgb="FF888888"/>
      <sz val="7"/>
    </font>
    <font>
      <name val="Arial"/>
      <b val="1"/>
      <color rgb="FF333333"/>
      <sz val="7"/>
    </font>
    <font>
      <name val="Arial"/>
      <b val="1"/>
      <color rgb="FF375623"/>
    </font>
    <font>
      <name val="Arial"/>
      <b val="1"/>
      <color rgb="FF7030A0"/>
      <sz val="9"/>
    </font>
    <font>
      <name val="Arial"/>
      <color rgb="FF444444"/>
      <sz val="9"/>
    </font>
    <font>
      <name val="Arial"/>
      <color rgb="FF222222"/>
      <sz val="9"/>
    </font>
    <font>
      <name val="Arial"/>
      <color theme="1"/>
    </font>
    <font>
      <name val="Arial"/>
      <b val="1"/>
      <color rgb="FF7B2C2C"/>
    </font>
    <font>
      <name val="Arial"/>
      <b val="1"/>
      <color rgb="FF7B5E1C"/>
    </font>
    <font>
      <name val="Arial"/>
      <b val="1"/>
      <color rgb="FFFFFFFF"/>
      <sz val="7"/>
    </font>
    <font>
      <name val="Arial"/>
      <b val="1"/>
      <color theme="1"/>
      <sz val="8"/>
    </font>
    <font>
      <name val="Arial"/>
      <color theme="1"/>
      <sz val="8"/>
    </font>
    <font>
      <name val="Arial"/>
      <b val="1"/>
      <color rgb="FF2E75B6"/>
      <sz val="9"/>
    </font>
    <font>
      <name val="Arial"/>
      <b val="1"/>
      <color rgb="FFED7D31"/>
      <sz val="9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333333"/>
      <sz val="7"/>
    </font>
    <font>
      <name val="Arial"/>
      <b val="1"/>
      <color rgb="00FFFFFF"/>
      <sz val="10"/>
    </font>
    <font>
      <name val="Arial"/>
      <color rgb="00666666"/>
      <sz val="8"/>
    </font>
    <font>
      <name val="Arial"/>
      <b val="1"/>
      <color rgb="00333333"/>
      <sz val="8"/>
    </font>
    <font>
      <name val="Arial"/>
      <color rgb="00222222"/>
      <sz val="9"/>
    </font>
    <font>
      <name val="Arial"/>
      <b val="1"/>
      <color rgb="007030A0"/>
      <sz val="9"/>
    </font>
    <font>
      <name val="Arial"/>
      <b val="1"/>
      <color rgb="002E75B6"/>
      <sz val="9"/>
    </font>
    <font>
      <name val="Arial"/>
      <b val="1"/>
      <color rgb="00ED7D31"/>
      <sz val="9"/>
    </font>
    <font>
      <name val="Arial"/>
      <b val="1"/>
      <color rgb="00FFFFFF"/>
      <sz val="12"/>
    </font>
    <font>
      <name val="Arial"/>
      <b val="1"/>
      <color rgb="00222222"/>
      <sz val="9"/>
    </font>
    <font>
      <name val="Arial"/>
      <b val="1"/>
      <color rgb="00FFFFFF"/>
      <sz val="7"/>
    </font>
    <font>
      <name val="Arial"/>
      <color rgb="00333333"/>
      <sz val="8"/>
    </font>
    <font>
      <name val="Arial"/>
      <color rgb="00222222"/>
      <sz val="8"/>
    </font>
  </fonts>
  <fills count="46">
    <fill>
      <patternFill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375623"/>
        <bgColor rgb="FF375623"/>
      </patternFill>
    </fill>
    <fill>
      <patternFill patternType="solid">
        <fgColor rgb="FF2E75B6"/>
        <bgColor rgb="FF2E75B6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BDD7EE"/>
        <bgColor rgb="FFBDD7EE"/>
      </patternFill>
    </fill>
    <fill>
      <patternFill patternType="solid">
        <fgColor rgb="FF7030A0"/>
        <bgColor rgb="FF7030A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9F9F9"/>
        <bgColor rgb="FFF9F9F9"/>
      </patternFill>
    </fill>
    <fill>
      <patternFill patternType="solid">
        <fgColor rgb="FFD6E4F0"/>
        <bgColor rgb="FFD6E4F0"/>
      </patternFill>
    </fill>
    <fill>
      <patternFill patternType="solid">
        <fgColor rgb="FFE8F4D9"/>
        <bgColor rgb="FFE8F4D9"/>
      </patternFill>
    </fill>
    <fill>
      <patternFill patternType="solid">
        <fgColor rgb="FFFFF2CC"/>
        <bgColor rgb="FFFFF2CC"/>
      </patternFill>
    </fill>
    <fill>
      <patternFill patternType="solid">
        <fgColor rgb="FFFDEBD0"/>
        <bgColor rgb="FFFDEBD0"/>
      </patternFill>
    </fill>
    <fill>
      <patternFill patternType="solid">
        <fgColor theme="0"/>
        <bgColor theme="0"/>
      </patternFill>
    </fill>
    <fill>
      <patternFill patternType="solid">
        <fgColor rgb="FFE8D5F5"/>
        <bgColor rgb="FFE8D5F5"/>
      </patternFill>
    </fill>
    <fill>
      <patternFill patternType="solid">
        <fgColor rgb="FFED7D31"/>
        <bgColor rgb="FFED7D31"/>
      </patternFill>
    </fill>
    <fill>
      <patternFill patternType="solid">
        <fgColor rgb="FF595959"/>
        <bgColor rgb="FF595959"/>
      </patternFill>
    </fill>
    <fill>
      <patternFill patternType="solid">
        <fgColor rgb="FF888888"/>
        <bgColor rgb="FF888888"/>
      </patternFill>
    </fill>
    <fill>
      <patternFill patternType="solid">
        <fgColor rgb="FF4472C4"/>
        <bgColor rgb="FF4472C4"/>
      </patternFill>
    </fill>
    <fill>
      <patternFill patternType="solid">
        <fgColor rgb="FFEEEEEE"/>
        <bgColor rgb="FFEEEEEE"/>
      </patternFill>
    </fill>
    <fill>
      <patternFill patternType="solid">
        <fgColor rgb="FFE0E0E0"/>
        <bgColor rgb="FFE0E0E0"/>
      </patternFill>
    </fill>
    <fill>
      <patternFill patternType="solid">
        <fgColor rgb="FFFCE4D6"/>
        <bgColor rgb="FFFCE4D6"/>
      </patternFill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EFEFEF"/>
      </patternFill>
    </fill>
    <fill>
      <patternFill patternType="solid">
        <fgColor rgb="00D6E4F0"/>
      </patternFill>
    </fill>
    <fill>
      <patternFill patternType="solid">
        <fgColor rgb="00E8F4D9"/>
      </patternFill>
    </fill>
    <fill>
      <patternFill patternType="solid">
        <fgColor rgb="00FFF2CC"/>
      </patternFill>
    </fill>
    <fill>
      <patternFill patternType="solid">
        <fgColor rgb="00FDEBD0"/>
      </patternFill>
    </fill>
    <fill>
      <patternFill patternType="solid">
        <fgColor rgb="007030A0"/>
      </patternFill>
    </fill>
    <fill>
      <patternFill patternType="solid">
        <fgColor rgb="00E8D5F5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ED7D31"/>
      </patternFill>
    </fill>
    <fill>
      <patternFill patternType="solid">
        <fgColor rgb="00FCE4D6"/>
      </patternFill>
    </fill>
    <fill>
      <patternFill patternType="solid">
        <fgColor rgb="00F9F9F9"/>
      </patternFill>
    </fill>
    <fill>
      <patternFill patternType="solid">
        <fgColor rgb="00595959"/>
      </patternFill>
    </fill>
    <fill>
      <patternFill patternType="solid">
        <fgColor rgb="00888888"/>
      </patternFill>
    </fill>
    <fill>
      <patternFill patternType="solid">
        <fgColor rgb="00E2EFDA"/>
      </patternFill>
    </fill>
    <fill>
      <patternFill patternType="solid">
        <fgColor rgb="0070AD47"/>
      </patternFill>
    </fill>
  </fills>
  <borders count="12">
    <border/>
    <border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right style="thin">
        <color rgb="FFBFBFBF"/>
      </right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5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5" fillId="0" borderId="1" pivotButton="0" quotePrefix="0" xfId="0"/>
    <xf numFmtId="0" fontId="5" fillId="0" borderId="3" pivotButton="0" quotePrefix="0" xfId="0"/>
    <xf numFmtId="0" fontId="4" fillId="2" borderId="4" applyAlignment="1" pivotButton="0" quotePrefix="0" xfId="0">
      <alignment horizontal="center"/>
    </xf>
    <xf numFmtId="0" fontId="6" fillId="4" borderId="5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5" fillId="0" borderId="6" pivotButton="0" quotePrefix="0" xfId="0"/>
    <xf numFmtId="0" fontId="8" fillId="5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5" fillId="0" borderId="7" pivotButton="0" quotePrefix="0" xfId="0"/>
    <xf numFmtId="0" fontId="9" fillId="2" borderId="2" applyAlignment="1" pivotButton="0" quotePrefix="0" xfId="0">
      <alignment horizontal="center"/>
    </xf>
    <xf numFmtId="0" fontId="8" fillId="6" borderId="0" applyAlignment="1" pivotButton="0" quotePrefix="0" xfId="0">
      <alignment horizontal="center"/>
    </xf>
    <xf numFmtId="0" fontId="10" fillId="6" borderId="0" applyAlignment="1" pivotButton="0" quotePrefix="0" xfId="0">
      <alignment horizontal="center"/>
    </xf>
    <xf numFmtId="0" fontId="11" fillId="7" borderId="5" applyAlignment="1" pivotButton="0" quotePrefix="0" xfId="0">
      <alignment horizontal="center"/>
    </xf>
    <xf numFmtId="0" fontId="8" fillId="6" borderId="0" applyAlignment="1" pivotButton="0" quotePrefix="0" xfId="0">
      <alignment horizontal="left"/>
    </xf>
    <xf numFmtId="0" fontId="10" fillId="6" borderId="0" applyAlignment="1" pivotButton="0" quotePrefix="0" xfId="0">
      <alignment horizontal="left"/>
    </xf>
    <xf numFmtId="0" fontId="10" fillId="7" borderId="5" applyAlignment="1" pivotButton="0" quotePrefix="0" xfId="0">
      <alignment horizontal="left"/>
    </xf>
    <xf numFmtId="164" fontId="10" fillId="6" borderId="0" applyAlignment="1" pivotButton="0" quotePrefix="0" xfId="0">
      <alignment horizontal="center"/>
    </xf>
    <xf numFmtId="0" fontId="9" fillId="8" borderId="2" applyAlignment="1" pivotButton="0" quotePrefix="0" xfId="0">
      <alignment horizontal="center"/>
    </xf>
    <xf numFmtId="0" fontId="12" fillId="9" borderId="2" applyAlignment="1" pivotButton="0" quotePrefix="0" xfId="0">
      <alignment vertical="bottom"/>
    </xf>
    <xf numFmtId="0" fontId="13" fillId="0" borderId="2" applyAlignment="1" pivotButton="0" quotePrefix="0" xfId="0">
      <alignment horizontal="center"/>
    </xf>
    <xf numFmtId="0" fontId="8" fillId="10" borderId="0" applyAlignment="1" pivotButton="0" quotePrefix="0" xfId="0">
      <alignment horizontal="center"/>
    </xf>
    <xf numFmtId="0" fontId="13" fillId="0" borderId="2" applyAlignment="1" pivotButton="0" quotePrefix="0" xfId="0">
      <alignment horizontal="left"/>
    </xf>
    <xf numFmtId="0" fontId="10" fillId="10" borderId="0" applyAlignment="1" pivotButton="0" quotePrefix="0" xfId="0">
      <alignment horizontal="center"/>
    </xf>
    <xf numFmtId="164" fontId="13" fillId="0" borderId="2" applyAlignment="1" pivotButton="0" quotePrefix="0" xfId="0">
      <alignment horizontal="center"/>
    </xf>
    <xf numFmtId="0" fontId="8" fillId="10" borderId="0" applyAlignment="1" pivotButton="0" quotePrefix="0" xfId="0">
      <alignment horizontal="left"/>
    </xf>
    <xf numFmtId="0" fontId="10" fillId="10" borderId="0" applyAlignment="1" pivotButton="0" quotePrefix="0" xfId="0">
      <alignment horizontal="left"/>
    </xf>
    <xf numFmtId="0" fontId="14" fillId="11" borderId="2" applyAlignment="1" pivotButton="0" quotePrefix="0" xfId="0">
      <alignment horizontal="center"/>
    </xf>
    <xf numFmtId="164" fontId="10" fillId="10" borderId="0" applyAlignment="1" pivotButton="0" quotePrefix="0" xfId="0">
      <alignment horizontal="center"/>
    </xf>
    <xf numFmtId="0" fontId="13" fillId="12" borderId="2" applyAlignment="1" pivotButton="0" quotePrefix="0" xfId="0">
      <alignment horizontal="center"/>
    </xf>
    <xf numFmtId="0" fontId="15" fillId="13" borderId="2" applyAlignment="1" pivotButton="0" quotePrefix="0" xfId="0">
      <alignment horizontal="center"/>
    </xf>
    <xf numFmtId="0" fontId="13" fillId="12" borderId="2" applyAlignment="1" pivotButton="0" quotePrefix="0" xfId="0">
      <alignment horizontal="left"/>
    </xf>
    <xf numFmtId="164" fontId="13" fillId="12" borderId="2" applyAlignment="1" pivotButton="0" quotePrefix="0" xfId="0">
      <alignment horizontal="center"/>
    </xf>
    <xf numFmtId="0" fontId="15" fillId="14" borderId="2" applyAlignment="1" pivotButton="0" quotePrefix="0" xfId="0">
      <alignment horizontal="center"/>
    </xf>
    <xf numFmtId="0" fontId="15" fillId="15" borderId="2" applyAlignment="1" pivotButton="0" quotePrefix="0" xfId="0">
      <alignment horizontal="center"/>
    </xf>
    <xf numFmtId="0" fontId="15" fillId="16" borderId="2" applyAlignment="1" pivotButton="0" quotePrefix="0" xfId="0">
      <alignment horizontal="center"/>
    </xf>
    <xf numFmtId="0" fontId="9" fillId="8" borderId="4" applyAlignment="1" pivotButton="0" quotePrefix="0" xfId="0">
      <alignment horizontal="left"/>
    </xf>
    <xf numFmtId="0" fontId="16" fillId="17" borderId="5" applyAlignment="1" pivotButton="0" quotePrefix="0" xfId="0">
      <alignment horizontal="center"/>
    </xf>
    <xf numFmtId="0" fontId="10" fillId="17" borderId="5" applyAlignment="1" pivotButton="0" quotePrefix="0" xfId="0">
      <alignment horizontal="left"/>
    </xf>
    <xf numFmtId="0" fontId="17" fillId="18" borderId="2" applyAlignment="1" pivotButton="0" quotePrefix="0" xfId="0">
      <alignment horizontal="center"/>
    </xf>
    <xf numFmtId="0" fontId="9" fillId="17" borderId="5" applyAlignment="1" pivotButton="0" quotePrefix="0" xfId="0">
      <alignment horizontal="center"/>
    </xf>
    <xf numFmtId="0" fontId="18" fillId="18" borderId="2" applyAlignment="1" pivotButton="0" quotePrefix="0" xfId="0">
      <alignment horizontal="center"/>
    </xf>
    <xf numFmtId="0" fontId="19" fillId="10" borderId="2" applyAlignment="1" pivotButton="0" quotePrefix="0" xfId="0">
      <alignment horizontal="left"/>
    </xf>
    <xf numFmtId="0" fontId="12" fillId="11" borderId="2" applyAlignment="1" pivotButton="0" quotePrefix="0" xfId="0">
      <alignment vertical="bottom"/>
    </xf>
    <xf numFmtId="0" fontId="12" fillId="8" borderId="2" applyAlignment="1" pivotButton="0" quotePrefix="0" xfId="0">
      <alignment vertical="bottom"/>
    </xf>
    <xf numFmtId="0" fontId="12" fillId="13" borderId="2" applyAlignment="1" pivotButton="0" quotePrefix="0" xfId="0">
      <alignment vertical="bottom"/>
    </xf>
    <xf numFmtId="0" fontId="20" fillId="10" borderId="5" applyAlignment="1" pivotButton="0" quotePrefix="0" xfId="0">
      <alignment vertical="bottom"/>
    </xf>
    <xf numFmtId="0" fontId="12" fillId="14" borderId="2" applyAlignment="1" pivotButton="0" quotePrefix="0" xfId="0">
      <alignment vertical="bottom"/>
    </xf>
    <xf numFmtId="0" fontId="20" fillId="0" borderId="0" applyAlignment="1" pivotButton="0" quotePrefix="0" xfId="0">
      <alignment vertical="bottom"/>
    </xf>
    <xf numFmtId="0" fontId="20" fillId="0" borderId="0" applyAlignment="1" pivotButton="0" quotePrefix="0" xfId="0">
      <alignment vertical="bottom"/>
    </xf>
    <xf numFmtId="0" fontId="9" fillId="4" borderId="2" applyAlignment="1" pivotButton="0" quotePrefix="0" xfId="0">
      <alignment horizontal="center"/>
    </xf>
    <xf numFmtId="0" fontId="12" fillId="15" borderId="2" applyAlignment="1" pivotButton="0" quotePrefix="0" xfId="0">
      <alignment vertical="bottom"/>
    </xf>
    <xf numFmtId="0" fontId="12" fillId="16" borderId="2" applyAlignment="1" pivotButton="0" quotePrefix="0" xfId="0">
      <alignment vertical="bottom"/>
    </xf>
    <xf numFmtId="0" fontId="21" fillId="17" borderId="5" applyAlignment="1" pivotButton="0" quotePrefix="0" xfId="0">
      <alignment horizontal="center"/>
    </xf>
    <xf numFmtId="0" fontId="9" fillId="19" borderId="2" applyAlignment="1" pivotButton="0" quotePrefix="0" xfId="0">
      <alignment horizontal="center"/>
    </xf>
    <xf numFmtId="0" fontId="22" fillId="17" borderId="5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20" borderId="0" applyAlignment="1" pivotButton="0" quotePrefix="0" xfId="0">
      <alignment horizontal="center"/>
    </xf>
    <xf numFmtId="165" fontId="23" fillId="20" borderId="0" applyAlignment="1" pivotButton="0" quotePrefix="0" xfId="0">
      <alignment horizontal="center"/>
    </xf>
    <xf numFmtId="165" fontId="23" fillId="21" borderId="0" applyAlignment="1" pivotButton="0" quotePrefix="0" xfId="0">
      <alignment horizontal="center"/>
    </xf>
    <xf numFmtId="0" fontId="12" fillId="0" borderId="0" applyAlignment="1" pivotButton="0" quotePrefix="0" xfId="0">
      <alignment vertical="bottom"/>
    </xf>
    <xf numFmtId="0" fontId="24" fillId="6" borderId="0" applyAlignment="1" pivotButton="0" quotePrefix="0" xfId="0">
      <alignment horizontal="center"/>
    </xf>
    <xf numFmtId="0" fontId="25" fillId="6" borderId="0" applyAlignment="1" pivotButton="0" quotePrefix="0" xfId="0">
      <alignment horizontal="center"/>
    </xf>
    <xf numFmtId="0" fontId="25" fillId="6" borderId="0" applyAlignment="1" pivotButton="0" quotePrefix="0" xfId="0">
      <alignment horizontal="left"/>
    </xf>
    <xf numFmtId="0" fontId="12" fillId="22" borderId="0" applyAlignment="1" pivotButton="0" quotePrefix="0" xfId="0">
      <alignment vertical="bottom"/>
    </xf>
    <xf numFmtId="0" fontId="12" fillId="23" borderId="0" applyAlignment="1" pivotButton="0" quotePrefix="0" xfId="0">
      <alignment vertical="bottom"/>
    </xf>
    <xf numFmtId="0" fontId="12" fillId="24" borderId="0" applyAlignment="1" pivotButton="0" quotePrefix="0" xfId="0">
      <alignment vertical="bottom"/>
    </xf>
    <xf numFmtId="0" fontId="24" fillId="10" borderId="0" applyAlignment="1" pivotButton="0" quotePrefix="0" xfId="0">
      <alignment horizontal="center"/>
    </xf>
    <xf numFmtId="0" fontId="25" fillId="10" borderId="0" applyAlignment="1" pivotButton="0" quotePrefix="0" xfId="0">
      <alignment horizontal="center"/>
    </xf>
    <xf numFmtId="0" fontId="25" fillId="10" borderId="0" applyAlignment="1" pivotButton="0" quotePrefix="0" xfId="0">
      <alignment horizontal="left"/>
    </xf>
    <xf numFmtId="0" fontId="9" fillId="4" borderId="4" applyAlignment="1" pivotButton="0" quotePrefix="0" xfId="0">
      <alignment horizontal="left"/>
    </xf>
    <xf numFmtId="0" fontId="26" fillId="7" borderId="2" applyAlignment="1" pivotButton="0" quotePrefix="0" xfId="0">
      <alignment horizontal="center"/>
    </xf>
    <xf numFmtId="0" fontId="18" fillId="7" borderId="2" applyAlignment="1" pivotButton="0" quotePrefix="0" xfId="0">
      <alignment horizontal="center"/>
    </xf>
    <xf numFmtId="0" fontId="12" fillId="4" borderId="2" applyAlignment="1" pivotButton="0" quotePrefix="0" xfId="0">
      <alignment vertical="bottom"/>
    </xf>
    <xf numFmtId="0" fontId="9" fillId="19" borderId="4" applyAlignment="1" pivotButton="0" quotePrefix="0" xfId="0">
      <alignment horizontal="left"/>
    </xf>
    <xf numFmtId="0" fontId="27" fillId="25" borderId="2" applyAlignment="1" pivotButton="0" quotePrefix="0" xfId="0">
      <alignment horizontal="center"/>
    </xf>
    <xf numFmtId="0" fontId="18" fillId="25" borderId="2" applyAlignment="1" pivotButton="0" quotePrefix="0" xfId="0">
      <alignment horizontal="center"/>
    </xf>
    <xf numFmtId="0" fontId="12" fillId="19" borderId="2" applyAlignment="1" pivotButton="0" quotePrefix="0" xfId="0">
      <alignment vertical="bottom"/>
    </xf>
    <xf numFmtId="0" fontId="0" fillId="0" borderId="0" pivotButton="0" quotePrefix="0" xfId="0"/>
    <xf numFmtId="0" fontId="28" fillId="26" borderId="0" applyAlignment="1" pivotButton="0" quotePrefix="0" xfId="0">
      <alignment horizontal="center" vertical="center" wrapText="1"/>
    </xf>
    <xf numFmtId="0" fontId="29" fillId="26" borderId="11" applyAlignment="1" pivotButton="0" quotePrefix="0" xfId="0">
      <alignment horizontal="center" vertical="center" wrapText="1"/>
    </xf>
    <xf numFmtId="0" fontId="0" fillId="27" borderId="11" pivotButton="0" quotePrefix="0" xfId="0"/>
    <xf numFmtId="0" fontId="30" fillId="28" borderId="11" applyAlignment="1" pivotButton="0" quotePrefix="0" xfId="0">
      <alignment horizontal="center" vertical="center" wrapText="1"/>
    </xf>
    <xf numFmtId="0" fontId="30" fillId="29" borderId="11" applyAlignment="1" pivotButton="0" quotePrefix="0" xfId="0">
      <alignment horizontal="center" vertical="center" wrapText="1"/>
    </xf>
    <xf numFmtId="0" fontId="30" fillId="30" borderId="11" applyAlignment="1" pivotButton="0" quotePrefix="0" xfId="0">
      <alignment horizontal="center" vertical="center" wrapText="1"/>
    </xf>
    <xf numFmtId="0" fontId="30" fillId="31" borderId="11" applyAlignment="1" pivotButton="0" quotePrefix="0" xfId="0">
      <alignment horizontal="center" vertical="center" wrapText="1"/>
    </xf>
    <xf numFmtId="0" fontId="30" fillId="32" borderId="11" applyAlignment="1" pivotButton="0" quotePrefix="0" xfId="0">
      <alignment horizontal="center" vertical="center" wrapText="1"/>
    </xf>
    <xf numFmtId="0" fontId="31" fillId="33" borderId="0" applyAlignment="1" pivotButton="0" quotePrefix="0" xfId="0">
      <alignment horizontal="left" vertical="center" wrapText="1"/>
    </xf>
    <xf numFmtId="0" fontId="32" fillId="34" borderId="11" applyAlignment="1" pivotButton="0" quotePrefix="0" xfId="0">
      <alignment horizontal="center" vertical="center" wrapText="1"/>
    </xf>
    <xf numFmtId="0" fontId="33" fillId="34" borderId="11" applyAlignment="1" pivotButton="0" quotePrefix="0" xfId="0">
      <alignment horizontal="center" vertical="center" wrapText="1"/>
    </xf>
    <xf numFmtId="0" fontId="34" fillId="35" borderId="11" applyAlignment="1" pivotButton="0" quotePrefix="0" xfId="0">
      <alignment horizontal="left" vertical="center" wrapText="1"/>
    </xf>
    <xf numFmtId="0" fontId="35" fillId="35" borderId="11" applyAlignment="1" pivotButton="0" quotePrefix="0" xfId="0">
      <alignment horizontal="center" vertical="center" wrapText="1"/>
    </xf>
    <xf numFmtId="0" fontId="0" fillId="33" borderId="11" pivotButton="0" quotePrefix="0" xfId="0"/>
    <xf numFmtId="0" fontId="0" fillId="35" borderId="11" pivotButton="0" quotePrefix="0" xfId="0"/>
    <xf numFmtId="0" fontId="0" fillId="28" borderId="11" pivotButton="0" quotePrefix="0" xfId="0"/>
    <xf numFmtId="0" fontId="34" fillId="36" borderId="11" applyAlignment="1" pivotButton="0" quotePrefix="0" xfId="0">
      <alignment horizontal="left" vertical="center" wrapText="1"/>
    </xf>
    <xf numFmtId="0" fontId="35" fillId="36" borderId="11" applyAlignment="1" pivotButton="0" quotePrefix="0" xfId="0">
      <alignment horizontal="center" vertical="center" wrapText="1"/>
    </xf>
    <xf numFmtId="0" fontId="0" fillId="36" borderId="11" pivotButton="0" quotePrefix="0" xfId="0"/>
    <xf numFmtId="0" fontId="31" fillId="37" borderId="0" applyAlignment="1" pivotButton="0" quotePrefix="0" xfId="0">
      <alignment horizontal="left" vertical="center" wrapText="1"/>
    </xf>
    <xf numFmtId="0" fontId="32" fillId="38" borderId="11" applyAlignment="1" pivotButton="0" quotePrefix="0" xfId="0">
      <alignment horizontal="center" vertical="center" wrapText="1"/>
    </xf>
    <xf numFmtId="0" fontId="33" fillId="38" borderId="11" applyAlignment="1" pivotButton="0" quotePrefix="0" xfId="0">
      <alignment horizontal="center" vertical="center" wrapText="1"/>
    </xf>
    <xf numFmtId="0" fontId="36" fillId="35" borderId="11" applyAlignment="1" pivotButton="0" quotePrefix="0" xfId="0">
      <alignment horizontal="center" vertical="center" wrapText="1"/>
    </xf>
    <xf numFmtId="0" fontId="0" fillId="37" borderId="11" pivotButton="0" quotePrefix="0" xfId="0"/>
    <xf numFmtId="0" fontId="36" fillId="36" borderId="11" applyAlignment="1" pivotButton="0" quotePrefix="0" xfId="0">
      <alignment horizontal="center" vertical="center" wrapText="1"/>
    </xf>
    <xf numFmtId="0" fontId="31" fillId="39" borderId="0" applyAlignment="1" pivotButton="0" quotePrefix="0" xfId="0">
      <alignment horizontal="left" vertical="center" wrapText="1"/>
    </xf>
    <xf numFmtId="0" fontId="32" fillId="40" borderId="11" applyAlignment="1" pivotButton="0" quotePrefix="0" xfId="0">
      <alignment horizontal="center" vertical="center" wrapText="1"/>
    </xf>
    <xf numFmtId="0" fontId="33" fillId="40" borderId="11" applyAlignment="1" pivotButton="0" quotePrefix="0" xfId="0">
      <alignment horizontal="center" vertical="center" wrapText="1"/>
    </xf>
    <xf numFmtId="0" fontId="37" fillId="35" borderId="11" applyAlignment="1" pivotButton="0" quotePrefix="0" xfId="0">
      <alignment horizontal="center" vertical="center" wrapText="1"/>
    </xf>
    <xf numFmtId="0" fontId="0" fillId="39" borderId="11" pivotButton="0" quotePrefix="0" xfId="0"/>
    <xf numFmtId="0" fontId="37" fillId="36" borderId="11" applyAlignment="1" pivotButton="0" quotePrefix="0" xfId="0">
      <alignment horizontal="center" vertical="center" wrapText="1"/>
    </xf>
    <xf numFmtId="0" fontId="38" fillId="26" borderId="0" applyAlignment="1" pivotButton="0" quotePrefix="0" xfId="0">
      <alignment horizontal="center" vertical="center" wrapText="1"/>
    </xf>
    <xf numFmtId="0" fontId="29" fillId="37" borderId="11" applyAlignment="1" pivotButton="0" quotePrefix="0" xfId="0">
      <alignment horizontal="center" vertical="center" wrapText="1"/>
    </xf>
    <xf numFmtId="0" fontId="29" fillId="33" borderId="11" applyAlignment="1" pivotButton="0" quotePrefix="0" xfId="0">
      <alignment horizontal="center" vertical="center" wrapText="1"/>
    </xf>
    <xf numFmtId="0" fontId="34" fillId="35" borderId="11" applyAlignment="1" pivotButton="0" quotePrefix="0" xfId="0">
      <alignment horizontal="center" vertical="center" wrapText="1"/>
    </xf>
    <xf numFmtId="164" fontId="34" fillId="35" borderId="11" applyAlignment="1" pivotButton="0" quotePrefix="0" xfId="0">
      <alignment horizontal="center" vertical="center" wrapText="1"/>
    </xf>
    <xf numFmtId="0" fontId="39" fillId="35" borderId="11" applyAlignment="1" pivotButton="0" quotePrefix="0" xfId="0">
      <alignment horizontal="center" vertical="center" wrapText="1"/>
    </xf>
    <xf numFmtId="0" fontId="35" fillId="41" borderId="11" applyAlignment="1" pivotButton="0" quotePrefix="0" xfId="0">
      <alignment horizontal="center" vertical="center" wrapText="1"/>
    </xf>
    <xf numFmtId="0" fontId="34" fillId="41" borderId="11" applyAlignment="1" pivotButton="0" quotePrefix="0" xfId="0">
      <alignment horizontal="center" vertical="center" wrapText="1"/>
    </xf>
    <xf numFmtId="0" fontId="34" fillId="41" borderId="11" applyAlignment="1" pivotButton="0" quotePrefix="0" xfId="0">
      <alignment horizontal="left" vertical="center" wrapText="1"/>
    </xf>
    <xf numFmtId="164" fontId="34" fillId="41" borderId="11" applyAlignment="1" pivotButton="0" quotePrefix="0" xfId="0">
      <alignment horizontal="center" vertical="center" wrapText="1"/>
    </xf>
    <xf numFmtId="0" fontId="39" fillId="41" borderId="11" applyAlignment="1" pivotButton="0" quotePrefix="0" xfId="0">
      <alignment horizontal="center" vertical="center" wrapText="1"/>
    </xf>
    <xf numFmtId="0" fontId="36" fillId="41" borderId="11" applyAlignment="1" pivotButton="0" quotePrefix="0" xfId="0">
      <alignment horizontal="center" vertical="center" wrapText="1"/>
    </xf>
    <xf numFmtId="0" fontId="29" fillId="39" borderId="11" applyAlignment="1" pivotButton="0" quotePrefix="0" xfId="0">
      <alignment horizontal="center" vertical="center" wrapText="1"/>
    </xf>
    <xf numFmtId="0" fontId="37" fillId="41" borderId="11" applyAlignment="1" pivotButton="0" quotePrefix="0" xfId="0">
      <alignment horizontal="center" vertical="center" wrapText="1"/>
    </xf>
    <xf numFmtId="0" fontId="38" fillId="26" borderId="3" applyAlignment="1" pivotButton="0" quotePrefix="0" xfId="0">
      <alignment horizontal="center"/>
    </xf>
    <xf numFmtId="0" fontId="0" fillId="0" borderId="1" pivotButton="0" quotePrefix="0" xfId="0"/>
    <xf numFmtId="0" fontId="0" fillId="0" borderId="3" pivotButton="0" quotePrefix="0" xfId="0"/>
    <xf numFmtId="0" fontId="7" fillId="0" borderId="3" applyAlignment="1" pivotButton="0" quotePrefix="0" xfId="0">
      <alignment horizontal="center"/>
    </xf>
    <xf numFmtId="0" fontId="29" fillId="37" borderId="0" applyAlignment="1" pivotButton="0" quotePrefix="0" xfId="0">
      <alignment horizontal="center" vertical="center" wrapText="1"/>
    </xf>
    <xf numFmtId="1" fontId="10" fillId="6" borderId="0" applyAlignment="1" pivotButton="0" quotePrefix="0" xfId="0">
      <alignment horizontal="center"/>
    </xf>
    <xf numFmtId="1" fontId="10" fillId="10" borderId="0" applyAlignment="1" pivotButton="0" quotePrefix="0" xfId="0">
      <alignment horizontal="center"/>
    </xf>
    <xf numFmtId="0" fontId="40" fillId="42" borderId="11" applyAlignment="1" pivotButton="0" quotePrefix="0" xfId="0">
      <alignment horizontal="center" vertical="center" wrapText="1"/>
    </xf>
    <xf numFmtId="0" fontId="40" fillId="43" borderId="11" applyAlignment="1" pivotButton="0" quotePrefix="0" xfId="0">
      <alignment horizontal="center" vertical="center" wrapText="1"/>
    </xf>
    <xf numFmtId="0" fontId="33" fillId="29" borderId="11" applyAlignment="1" pivotButton="0" quotePrefix="0" xfId="0">
      <alignment horizontal="center" vertical="center" wrapText="1"/>
    </xf>
    <xf numFmtId="0" fontId="41" fillId="29" borderId="11" applyAlignment="1" pivotButton="0" quotePrefix="0" xfId="0">
      <alignment horizontal="center" vertical="center" wrapText="1"/>
    </xf>
    <xf numFmtId="0" fontId="42" fillId="35" borderId="11" applyAlignment="1" pivotButton="0" quotePrefix="0" xfId="0">
      <alignment horizontal="left" vertical="center" wrapText="1"/>
    </xf>
    <xf numFmtId="0" fontId="42" fillId="36" borderId="11" applyAlignment="1" pivotButton="0" quotePrefix="0" xfId="0">
      <alignment horizontal="left" vertical="center" wrapText="1"/>
    </xf>
    <xf numFmtId="0" fontId="33" fillId="44" borderId="11" applyAlignment="1" pivotButton="0" quotePrefix="0" xfId="0">
      <alignment horizontal="center" vertical="center" wrapText="1"/>
    </xf>
    <xf numFmtId="0" fontId="41" fillId="44" borderId="11" applyAlignment="1" pivotButton="0" quotePrefix="0" xfId="0">
      <alignment horizontal="center" vertical="center" wrapText="1"/>
    </xf>
    <xf numFmtId="0" fontId="0" fillId="45" borderId="11" pivotButton="0" quotePrefix="0" xfId="0"/>
    <xf numFmtId="0" fontId="41" fillId="40" borderId="11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35"/>
  <sheetViews>
    <sheetView workbookViewId="0">
      <selection activeCell="A1" sqref="A1"/>
    </sheetView>
  </sheetViews>
  <sheetFormatPr baseColWidth="8" defaultColWidth="12.63" defaultRowHeight="15.75" customHeight="1"/>
  <cols>
    <col width="36.63" customWidth="1" style="82" min="2" max="2"/>
    <col width="50.5" customWidth="1" style="82" min="3" max="3"/>
    <col width="56.63" customWidth="1" style="82" min="4" max="4"/>
    <col width="28.75" customWidth="1" style="82" min="5" max="5"/>
    <col width="46.38" customWidth="1" style="82" min="6" max="6"/>
    <col width="17" customWidth="1" style="82" min="7" max="7"/>
    <col width="15.88" customWidth="1" style="82" min="8" max="8"/>
    <col width="20.5" customWidth="1" style="82" min="10" max="10"/>
  </cols>
  <sheetData>
    <row r="1">
      <c r="A1" s="2" t="inlineStr">
        <is>
          <t>Công nghệ:</t>
        </is>
      </c>
    </row>
    <row r="2">
      <c r="A2" s="2" t="inlineStr">
        <is>
          <t>-BE: dotnet</t>
        </is>
      </c>
    </row>
    <row r="3">
      <c r="A3" s="2" t="inlineStr">
        <is>
          <t>-FE: reacjs</t>
        </is>
      </c>
    </row>
    <row r="4">
      <c r="A4" s="2" t="inlineStr">
        <is>
          <t>-PostgresSQL</t>
        </is>
      </c>
    </row>
    <row r="6">
      <c r="A6" s="8" t="inlineStr">
        <is>
          <t>Module</t>
        </is>
      </c>
      <c r="B6" s="8" t="inlineStr">
        <is>
          <t>Nhóm chức năng</t>
        </is>
      </c>
      <c r="C6" s="11" t="inlineStr">
        <is>
          <t>Module</t>
        </is>
      </c>
      <c r="D6" s="11" t="inlineStr">
        <is>
          <t>Nhóm chức năng</t>
        </is>
      </c>
      <c r="E6" s="11" t="inlineStr">
        <is>
          <t>Chức năng</t>
        </is>
      </c>
      <c r="F6" s="11" t="inlineStr">
        <is>
          <t>Mô tả</t>
        </is>
      </c>
      <c r="G6" s="11" t="inlineStr">
        <is>
          <t>Ưu tiên</t>
        </is>
      </c>
      <c r="H6" s="11" t="inlineStr">
        <is>
          <t>BE</t>
        </is>
      </c>
      <c r="I6" s="11" t="inlineStr">
        <is>
          <t>FE</t>
        </is>
      </c>
      <c r="J6" s="11" t="inlineStr">
        <is>
          <t>BA+Design</t>
        </is>
      </c>
    </row>
    <row r="7">
      <c r="A7" s="17" t="inlineStr">
        <is>
          <t>CORE</t>
        </is>
      </c>
      <c r="B7" s="20" t="inlineStr">
        <is>
          <t>Auth &amp; Security</t>
        </is>
      </c>
      <c r="C7" s="15" t="inlineStr">
        <is>
          <t>CORE</t>
        </is>
      </c>
      <c r="D7" s="16" t="inlineStr">
        <is>
          <t>Auth &amp; Security</t>
        </is>
      </c>
      <c r="E7" s="18" t="inlineStr">
        <is>
          <t>Authentication</t>
        </is>
      </c>
      <c r="F7" s="19" t="inlineStr">
        <is>
          <t>Đăng nhập, đăng xuất, quản lý phiên, token</t>
        </is>
      </c>
      <c r="G7" s="16" t="inlineStr">
        <is>
          <t>P0</t>
        </is>
      </c>
      <c r="H7" s="15" t="inlineStr">
        <is>
          <t>Thưởng</t>
        </is>
      </c>
      <c r="I7" s="15" t="inlineStr">
        <is>
          <t>Khải</t>
        </is>
      </c>
      <c r="J7" s="15" t="inlineStr">
        <is>
          <t>Tài</t>
        </is>
      </c>
    </row>
    <row r="8">
      <c r="A8" s="17" t="inlineStr">
        <is>
          <t>CORE</t>
        </is>
      </c>
      <c r="B8" s="20" t="inlineStr">
        <is>
          <t>Auth &amp; Security</t>
        </is>
      </c>
      <c r="C8" s="25" t="inlineStr">
        <is>
          <t>CORE</t>
        </is>
      </c>
      <c r="D8" s="27" t="inlineStr">
        <is>
          <t>Auth &amp; Security</t>
        </is>
      </c>
      <c r="E8" s="29" t="inlineStr">
        <is>
          <t>Authorization</t>
        </is>
      </c>
      <c r="F8" s="30" t="inlineStr">
        <is>
          <t>Phân quyền theo vai trò (Admin, BQL, Cư dân, Kỹ thuật...)</t>
        </is>
      </c>
      <c r="G8" s="27" t="inlineStr">
        <is>
          <t>P0</t>
        </is>
      </c>
      <c r="H8" s="25" t="inlineStr">
        <is>
          <t>Thưởng</t>
        </is>
      </c>
      <c r="I8" s="25" t="inlineStr">
        <is>
          <t>Thưởng</t>
        </is>
      </c>
      <c r="J8" s="25" t="inlineStr">
        <is>
          <t>Thưởng</t>
        </is>
      </c>
    </row>
    <row r="9">
      <c r="A9" s="17" t="inlineStr">
        <is>
          <t>CORE</t>
        </is>
      </c>
      <c r="B9" s="20" t="inlineStr">
        <is>
          <t>User Management</t>
        </is>
      </c>
      <c r="C9" s="15" t="inlineStr">
        <is>
          <t>CORE</t>
        </is>
      </c>
      <c r="D9" s="16" t="inlineStr">
        <is>
          <t>User Management</t>
        </is>
      </c>
      <c r="E9" s="18" t="inlineStr">
        <is>
          <t>Quản lý tài khoản</t>
        </is>
      </c>
      <c r="F9" s="19" t="inlineStr">
        <is>
          <t>CRUD tài khoản người dùng hệ thống</t>
        </is>
      </c>
      <c r="G9" s="16" t="inlineStr">
        <is>
          <t>P0</t>
        </is>
      </c>
      <c r="H9" s="15" t="inlineStr">
        <is>
          <t>Khải</t>
        </is>
      </c>
      <c r="I9" s="15" t="inlineStr">
        <is>
          <t>Khải</t>
        </is>
      </c>
      <c r="J9" s="15" t="inlineStr">
        <is>
          <t>Tài</t>
        </is>
      </c>
    </row>
    <row r="10">
      <c r="A10" s="17" t="inlineStr">
        <is>
          <t>CORE</t>
        </is>
      </c>
      <c r="B10" s="20" t="inlineStr">
        <is>
          <t>User Management</t>
        </is>
      </c>
      <c r="C10" s="25" t="inlineStr">
        <is>
          <t>CORE</t>
        </is>
      </c>
      <c r="D10" s="27" t="inlineStr">
        <is>
          <t>User Management</t>
        </is>
      </c>
      <c r="E10" s="29" t="inlineStr">
        <is>
          <t>Liên kết định danh</t>
        </is>
      </c>
      <c r="F10" s="30" t="inlineStr">
        <is>
          <t>Liên kết tài khoản ↔ cư dân ↔ căn hộ</t>
        </is>
      </c>
      <c r="G10" s="27" t="inlineStr">
        <is>
          <t>P0</t>
        </is>
      </c>
      <c r="H10" s="25" t="inlineStr">
        <is>
          <t>Thưởng</t>
        </is>
      </c>
      <c r="I10" s="15" t="inlineStr">
        <is>
          <t>Tài</t>
        </is>
      </c>
      <c r="J10" s="25" t="inlineStr">
        <is>
          <t>Tài</t>
        </is>
      </c>
    </row>
    <row r="11">
      <c r="A11" s="17" t="inlineStr">
        <is>
          <t>CORE</t>
        </is>
      </c>
      <c r="B11" s="20" t="inlineStr">
        <is>
          <t>User Management</t>
        </is>
      </c>
      <c r="C11" s="15" t="inlineStr">
        <is>
          <t>CORE</t>
        </is>
      </c>
      <c r="D11" s="16" t="inlineStr">
        <is>
          <t>User Management</t>
        </is>
      </c>
      <c r="E11" s="18" t="inlineStr">
        <is>
          <t>Audit Log</t>
        </is>
      </c>
      <c r="F11" s="19" t="inlineStr">
        <is>
          <t>Lịch sử hoạt động toàn hệ thống</t>
        </is>
      </c>
      <c r="G11" s="16" t="inlineStr">
        <is>
          <t>P0</t>
        </is>
      </c>
      <c r="H11" s="15" t="inlineStr">
        <is>
          <t>Tài</t>
        </is>
      </c>
      <c r="I11" s="15" t="inlineStr">
        <is>
          <t>Khải</t>
        </is>
      </c>
      <c r="J11" s="15" t="inlineStr">
        <is>
          <t>Khải</t>
        </is>
      </c>
    </row>
    <row r="12">
      <c r="A12" s="17" t="inlineStr">
        <is>
          <t>CORE</t>
        </is>
      </c>
      <c r="B12" s="20" t="inlineStr">
        <is>
          <t>Notification Engine</t>
        </is>
      </c>
      <c r="C12" s="25" t="inlineStr">
        <is>
          <t>CORE</t>
        </is>
      </c>
      <c r="D12" s="27" t="inlineStr">
        <is>
          <t>Notification Engine</t>
        </is>
      </c>
      <c r="E12" s="29" t="inlineStr">
        <is>
          <t>Gửi thông báo</t>
        </is>
      </c>
      <c r="F12" s="30" t="inlineStr">
        <is>
          <t>Push notification, email, SMS</t>
        </is>
      </c>
      <c r="G12" s="27" t="inlineStr">
        <is>
          <t>P0</t>
        </is>
      </c>
      <c r="H12" s="25" t="inlineStr">
        <is>
          <t>Khải</t>
        </is>
      </c>
      <c r="I12" s="25" t="inlineStr">
        <is>
          <t>Khải</t>
        </is>
      </c>
      <c r="J12" s="15" t="inlineStr">
        <is>
          <t>Khải</t>
        </is>
      </c>
    </row>
    <row r="13">
      <c r="A13" s="17" t="inlineStr">
        <is>
          <t>CORE</t>
        </is>
      </c>
      <c r="B13" s="20" t="inlineStr">
        <is>
          <t>Notification Engine</t>
        </is>
      </c>
      <c r="C13" s="25" t="inlineStr">
        <is>
          <t>CORE</t>
        </is>
      </c>
      <c r="D13" s="27" t="inlineStr">
        <is>
          <t>Notification Engine</t>
        </is>
      </c>
      <c r="E13" s="29" t="inlineStr">
        <is>
          <t>Lịch sử thông báo</t>
        </is>
      </c>
      <c r="F13" s="30" t="inlineStr">
        <is>
          <t>Tra cứu thông báo đã gửi</t>
        </is>
      </c>
      <c r="G13" s="27" t="inlineStr">
        <is>
          <t>P0</t>
        </is>
      </c>
      <c r="H13" s="25" t="inlineStr">
        <is>
          <t>Thưởng</t>
        </is>
      </c>
      <c r="I13" s="25" t="inlineStr">
        <is>
          <t>Thưởng</t>
        </is>
      </c>
      <c r="J13" s="25" t="inlineStr">
        <is>
          <t>Thưởng</t>
        </is>
      </c>
    </row>
    <row r="14">
      <c r="A14" s="17" t="inlineStr">
        <is>
          <t>CORE</t>
        </is>
      </c>
      <c r="B14" s="20" t="inlineStr">
        <is>
          <t>Configuration</t>
        </is>
      </c>
      <c r="C14" s="25" t="inlineStr">
        <is>
          <t>CORE</t>
        </is>
      </c>
      <c r="D14" s="27" t="inlineStr">
        <is>
          <t>Configuration</t>
        </is>
      </c>
      <c r="E14" s="29" t="inlineStr">
        <is>
          <t>Danh mục dùng chung</t>
        </is>
      </c>
      <c r="F14" s="30" t="inlineStr">
        <is>
          <t>Loại phí, loại tài sản, loại dịch vụ...</t>
        </is>
      </c>
      <c r="G14" s="27" t="inlineStr">
        <is>
          <t>P0</t>
        </is>
      </c>
      <c r="H14" s="25" t="inlineStr">
        <is>
          <t>Thưởng</t>
        </is>
      </c>
      <c r="I14" s="25" t="inlineStr">
        <is>
          <t>Khải</t>
        </is>
      </c>
      <c r="J14" s="25" t="inlineStr">
        <is>
          <t>Tài</t>
        </is>
      </c>
    </row>
    <row r="15">
      <c r="A15" s="17" t="inlineStr">
        <is>
          <t>CORE</t>
        </is>
      </c>
      <c r="B15" s="20" t="inlineStr">
        <is>
          <t>Reporting</t>
        </is>
      </c>
      <c r="C15" s="15" t="inlineStr">
        <is>
          <t>CORE</t>
        </is>
      </c>
      <c r="D15" s="16" t="inlineStr">
        <is>
          <t>Reporting</t>
        </is>
      </c>
      <c r="E15" s="18" t="inlineStr">
        <is>
          <t>Dashboard tổng quan</t>
        </is>
      </c>
      <c r="F15" s="19" t="inlineStr">
        <is>
          <t>Thống kê tổng hợp toàn khu</t>
        </is>
      </c>
      <c r="G15" s="16" t="inlineStr">
        <is>
          <t>P0</t>
        </is>
      </c>
      <c r="H15" s="25" t="inlineStr">
        <is>
          <t>Thưởng</t>
        </is>
      </c>
      <c r="I15" s="25" t="inlineStr">
        <is>
          <t>Thưởng</t>
        </is>
      </c>
      <c r="J15" s="25" t="inlineStr">
        <is>
          <t>Thưởng</t>
        </is>
      </c>
    </row>
    <row r="16">
      <c r="A16" s="41" t="n"/>
      <c r="B16" s="42" t="n"/>
      <c r="C16" s="42" t="n"/>
      <c r="D16" s="42" t="n"/>
      <c r="E16" s="44" t="n"/>
      <c r="F16" s="44" t="n"/>
      <c r="G16" s="50" t="n"/>
      <c r="H16" s="53" t="inlineStr">
        <is>
          <t>Đã xác nhận</t>
        </is>
      </c>
      <c r="I16" s="53" t="inlineStr">
        <is>
          <t>Đã xác nhận</t>
        </is>
      </c>
      <c r="J16" s="53" t="inlineStr">
        <is>
          <t>Đã xác nhận</t>
        </is>
      </c>
    </row>
    <row r="17">
      <c r="A17" s="41" t="n"/>
      <c r="B17" s="42" t="n"/>
      <c r="C17" s="42" t="n"/>
      <c r="D17" s="42" t="n"/>
      <c r="E17" s="44" t="n"/>
    </row>
    <row r="18">
      <c r="A18" s="41" t="n"/>
      <c r="B18" s="42" t="n"/>
      <c r="C18" s="42" t="n"/>
      <c r="D18" s="42" t="n"/>
      <c r="E18" s="44" t="n"/>
    </row>
    <row r="19">
      <c r="A19" s="41" t="n"/>
      <c r="B19" s="42" t="n"/>
      <c r="C19" s="42" t="n"/>
      <c r="D19" s="42" t="n"/>
      <c r="E19" s="44" t="n"/>
    </row>
    <row r="20">
      <c r="A20" s="41" t="n"/>
      <c r="B20" s="42" t="inlineStr">
        <is>
          <t>thêm permission</t>
        </is>
      </c>
      <c r="C20" s="42" t="n"/>
      <c r="D20" s="42" t="n"/>
      <c r="E20" s="44" t="n"/>
    </row>
    <row r="21">
      <c r="A21" s="41" t="n"/>
      <c r="B21" s="42" t="n"/>
      <c r="C21" s="42" t="n"/>
      <c r="D21" s="42" t="n"/>
      <c r="E21" s="44" t="n"/>
    </row>
    <row r="22">
      <c r="A22" s="41" t="n"/>
      <c r="B22" s="42" t="n"/>
      <c r="C22" s="42" t="n"/>
      <c r="D22" s="42" t="n"/>
      <c r="E22" s="44" t="n"/>
    </row>
    <row r="23">
      <c r="A23" s="57" t="n"/>
      <c r="B23" s="42" t="n"/>
      <c r="C23" s="42" t="n"/>
      <c r="D23" s="42" t="n"/>
      <c r="E23" s="44" t="n"/>
    </row>
    <row r="24">
      <c r="A24" s="57" t="n"/>
      <c r="B24" s="42" t="n"/>
      <c r="C24" s="42" t="n"/>
      <c r="D24" s="42" t="n"/>
      <c r="E24" s="44" t="n"/>
    </row>
    <row r="25">
      <c r="A25" s="57" t="n"/>
      <c r="B25" s="42" t="n"/>
      <c r="C25" s="42" t="n"/>
      <c r="D25" s="42" t="n"/>
      <c r="E25" s="44" t="n"/>
    </row>
    <row r="26">
      <c r="A26" s="57" t="n"/>
      <c r="B26" s="42" t="n"/>
      <c r="C26" s="42" t="n"/>
      <c r="D26" s="42" t="n"/>
      <c r="E26" s="44" t="n"/>
    </row>
    <row r="27">
      <c r="A27" s="57" t="n"/>
      <c r="B27" s="42" t="n"/>
      <c r="C27" s="42" t="n"/>
      <c r="D27" s="42" t="n"/>
      <c r="E27" s="44" t="n"/>
    </row>
    <row r="28">
      <c r="A28" s="57" t="n"/>
      <c r="B28" s="42" t="n"/>
      <c r="C28" s="42" t="n"/>
      <c r="D28" s="42" t="n"/>
      <c r="E28" s="44" t="n"/>
    </row>
    <row r="29">
      <c r="A29" s="59" t="n"/>
      <c r="B29" s="42" t="n"/>
      <c r="C29" s="42" t="n"/>
      <c r="D29" s="42" t="n"/>
      <c r="E29" s="44" t="n"/>
    </row>
    <row r="30">
      <c r="A30" s="59" t="n"/>
      <c r="B30" s="42" t="n"/>
      <c r="C30" s="42" t="n"/>
      <c r="D30" s="42" t="n"/>
      <c r="E30" s="44" t="n"/>
    </row>
    <row r="31">
      <c r="A31" s="59" t="n"/>
      <c r="B31" s="42" t="n"/>
      <c r="C31" s="42" t="n"/>
      <c r="D31" s="42" t="n"/>
      <c r="E31" s="44" t="n"/>
    </row>
    <row r="32">
      <c r="A32" s="59" t="n"/>
      <c r="B32" s="42" t="n"/>
      <c r="C32" s="42" t="n"/>
      <c r="D32" s="42" t="n"/>
      <c r="E32" s="44" t="n"/>
    </row>
    <row r="33">
      <c r="A33" s="59" t="n"/>
      <c r="B33" s="42" t="n"/>
      <c r="C33" s="42" t="n"/>
      <c r="D33" s="42" t="n"/>
      <c r="E33" s="44" t="n"/>
    </row>
    <row r="34">
      <c r="A34" s="59" t="n"/>
      <c r="B34" s="42" t="n"/>
      <c r="C34" s="42" t="n"/>
      <c r="D34" s="42" t="n"/>
      <c r="E34" s="44" t="n"/>
    </row>
    <row r="35">
      <c r="A35" s="59" t="n"/>
      <c r="B35" s="42" t="n"/>
      <c r="C35" s="42" t="n"/>
      <c r="D35" s="42" t="n"/>
      <c r="E35" s="44" t="n"/>
    </row>
  </sheetData>
  <dataValidations count="1">
    <dataValidation sqref="G16:J16" showDropDown="0" showInputMessage="0" showErrorMessage="1" allowBlank="1" type="list">
      <formula1>"Đã xác nhận,Chưa xác nhận"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style="82" min="1" max="1"/>
    <col width="11" customWidth="1" style="82" min="2" max="2"/>
    <col width="34" customWidth="1" style="82" min="3" max="3"/>
    <col width="9" customWidth="1" style="82" min="4" max="4"/>
    <col width="3.4" customWidth="1" style="82" min="5" max="5"/>
    <col width="3.4" customWidth="1" style="82" min="6" max="6"/>
    <col width="3.4" customWidth="1" style="82" min="7" max="7"/>
    <col width="3.4" customWidth="1" style="82" min="8" max="8"/>
    <col width="3.4" customWidth="1" style="82" min="9" max="9"/>
    <col width="3.4" customWidth="1" style="82" min="10" max="10"/>
    <col width="3.4" customWidth="1" style="82" min="11" max="11"/>
    <col width="3.4" customWidth="1" style="82" min="12" max="12"/>
    <col width="3.4" customWidth="1" style="82" min="13" max="13"/>
    <col width="3.4" customWidth="1" style="82" min="14" max="14"/>
    <col width="3.4" customWidth="1" style="82" min="15" max="15"/>
    <col width="3.4" customWidth="1" style="82" min="16" max="16"/>
    <col width="3.4" customWidth="1" style="82" min="17" max="17"/>
    <col width="3.4" customWidth="1" style="82" min="18" max="18"/>
    <col width="3.4" customWidth="1" style="82" min="19" max="19"/>
    <col width="3.4" customWidth="1" style="82" min="20" max="20"/>
    <col width="3.4" customWidth="1" style="82" min="21" max="21"/>
    <col width="3.4" customWidth="1" style="82" min="22" max="22"/>
    <col width="3.4" customWidth="1" style="82" min="23" max="23"/>
    <col width="3.4" customWidth="1" style="82" min="24" max="24"/>
    <col width="3.4" customWidth="1" style="82" min="25" max="25"/>
    <col width="3.4" customWidth="1" style="82" min="26" max="26"/>
    <col width="3.4" customWidth="1" style="82" min="27" max="27"/>
    <col width="3.4" customWidth="1" style="82" min="28" max="28"/>
    <col width="3.4" customWidth="1" style="82" min="29" max="29"/>
    <col width="3.4" customWidth="1" style="82" min="30" max="30"/>
    <col width="3.4" customWidth="1" style="82" min="31" max="31"/>
    <col width="3.4" customWidth="1" style="82" min="32" max="32"/>
    <col width="3.4" customWidth="1" style="82" min="33" max="33"/>
    <col width="3.4" customWidth="1" style="82" min="34" max="34"/>
    <col width="3.4" customWidth="1" style="82" min="35" max="35"/>
  </cols>
  <sheetData>
    <row r="1" ht="26" customHeight="1" s="82">
      <c r="A1" s="83" t="inlineStr">
        <is>
          <t>CORE MODULE — TIMELINE 16/03 → 15/04/2025  ·  BA+Design · Backend · Frontend</t>
        </is>
      </c>
    </row>
    <row r="2">
      <c r="A2" s="84" t="inlineStr">
        <is>
          <t>Role</t>
        </is>
      </c>
      <c r="B2" s="84" t="inlineStr">
        <is>
          <t>Nhóm</t>
        </is>
      </c>
      <c r="C2" s="84" t="inlineStr">
        <is>
          <t>Task / Deliverable</t>
        </is>
      </c>
      <c r="D2" s="84" t="inlineStr">
        <is>
          <t>Người</t>
        </is>
      </c>
      <c r="E2" s="84" t="inlineStr">
        <is>
          <t>Tuần 1 (16/3–22/3)</t>
        </is>
      </c>
      <c r="L2" s="84" t="inlineStr">
        <is>
          <t>Tuần 2 (23/3–29/3)</t>
        </is>
      </c>
      <c r="S2" s="84" t="inlineStr">
        <is>
          <t>Tuần 3 (30/3–5/4)</t>
        </is>
      </c>
      <c r="Z2" s="84" t="inlineStr">
        <is>
          <t>Tuần 4 (6/4–15/4)</t>
        </is>
      </c>
    </row>
    <row r="3" ht="30" customHeight="1" s="82">
      <c r="A3" s="85" t="n"/>
      <c r="B3" s="85" t="n"/>
      <c r="C3" s="85" t="n"/>
      <c r="D3" s="85" t="n"/>
      <c r="E3" s="86" t="inlineStr">
        <is>
          <t>CN
16/3</t>
        </is>
      </c>
      <c r="F3" s="87" t="inlineStr">
        <is>
          <t>T2
17/3</t>
        </is>
      </c>
      <c r="G3" s="87" t="inlineStr">
        <is>
          <t>T3
18/3</t>
        </is>
      </c>
      <c r="H3" s="87" t="inlineStr">
        <is>
          <t>T4
19/3</t>
        </is>
      </c>
      <c r="I3" s="87" t="inlineStr">
        <is>
          <t>T5
20/3</t>
        </is>
      </c>
      <c r="J3" s="87" t="inlineStr">
        <is>
          <t>T6
21/3</t>
        </is>
      </c>
      <c r="K3" s="86" t="inlineStr">
        <is>
          <t>T7
22/3</t>
        </is>
      </c>
      <c r="L3" s="86" t="inlineStr">
        <is>
          <t>CN
23/3</t>
        </is>
      </c>
      <c r="M3" s="88" t="inlineStr">
        <is>
          <t>T2
24/3</t>
        </is>
      </c>
      <c r="N3" s="88" t="inlineStr">
        <is>
          <t>T3
25/3</t>
        </is>
      </c>
      <c r="O3" s="88" t="inlineStr">
        <is>
          <t>T4
26/3</t>
        </is>
      </c>
      <c r="P3" s="88" t="inlineStr">
        <is>
          <t>T5
27/3</t>
        </is>
      </c>
      <c r="Q3" s="88" t="inlineStr">
        <is>
          <t>T6
28/3</t>
        </is>
      </c>
      <c r="R3" s="86" t="inlineStr">
        <is>
          <t>T7
29/3</t>
        </is>
      </c>
      <c r="S3" s="86" t="inlineStr">
        <is>
          <t>CN
30/3</t>
        </is>
      </c>
      <c r="T3" s="89" t="inlineStr">
        <is>
          <t>T2
31/3</t>
        </is>
      </c>
      <c r="U3" s="89" t="inlineStr">
        <is>
          <t>T3
1/4</t>
        </is>
      </c>
      <c r="V3" s="89" t="inlineStr">
        <is>
          <t>T4
2/4</t>
        </is>
      </c>
      <c r="W3" s="89" t="inlineStr">
        <is>
          <t>T5
3/4</t>
        </is>
      </c>
      <c r="X3" s="89" t="inlineStr">
        <is>
          <t>T6
4/4</t>
        </is>
      </c>
      <c r="Y3" s="86" t="inlineStr">
        <is>
          <t>T7
5/4</t>
        </is>
      </c>
      <c r="Z3" s="86" t="inlineStr">
        <is>
          <t>CN
6/4</t>
        </is>
      </c>
      <c r="AA3" s="90" t="inlineStr">
        <is>
          <t>T2
7/4</t>
        </is>
      </c>
      <c r="AB3" s="90" t="inlineStr">
        <is>
          <t>T3
8/4</t>
        </is>
      </c>
      <c r="AC3" s="90" t="inlineStr">
        <is>
          <t>T4
9/4</t>
        </is>
      </c>
      <c r="AD3" s="90" t="inlineStr">
        <is>
          <t>T5
10/4</t>
        </is>
      </c>
      <c r="AE3" s="90" t="inlineStr">
        <is>
          <t>T6
11/4</t>
        </is>
      </c>
      <c r="AF3" s="86" t="inlineStr">
        <is>
          <t>T7
12/4</t>
        </is>
      </c>
      <c r="AG3" s="86" t="inlineStr">
        <is>
          <t>CN
13/4</t>
        </is>
      </c>
      <c r="AH3" s="90" t="inlineStr">
        <is>
          <t>T2
14/4</t>
        </is>
      </c>
      <c r="AI3" s="90" t="inlineStr">
        <is>
          <t>T3
15/4</t>
        </is>
      </c>
    </row>
    <row r="4" ht="18" customHeight="1" s="82">
      <c r="A4" s="91" t="inlineStr">
        <is>
          <t>BA+Design</t>
        </is>
      </c>
    </row>
    <row r="5" ht="16" customHeight="1" s="82">
      <c r="A5" s="92" t="inlineStr">
        <is>
          <t>BA+Design</t>
        </is>
      </c>
      <c r="B5" s="93" t="inlineStr">
        <is>
          <t>Auth</t>
        </is>
      </c>
      <c r="C5" s="94" t="inlineStr">
        <is>
          <t>Spec: Login / RBAC flow</t>
        </is>
      </c>
      <c r="D5" s="95" t="inlineStr">
        <is>
          <t>Tài</t>
        </is>
      </c>
      <c r="E5" s="96" t="n"/>
      <c r="F5" s="96" t="n"/>
      <c r="G5" s="96" t="n"/>
      <c r="H5" s="96" t="n"/>
      <c r="I5" s="97" t="n"/>
      <c r="J5" s="97" t="n"/>
      <c r="K5" s="98" t="n"/>
      <c r="L5" s="98" t="n"/>
      <c r="M5" s="97" t="n"/>
      <c r="N5" s="97" t="n"/>
      <c r="O5" s="97" t="n"/>
      <c r="P5" s="97" t="n"/>
      <c r="Q5" s="97" t="n"/>
      <c r="R5" s="98" t="n"/>
      <c r="S5" s="98" t="n"/>
      <c r="T5" s="97" t="n"/>
      <c r="U5" s="97" t="n"/>
      <c r="V5" s="97" t="n"/>
      <c r="W5" s="97" t="n"/>
      <c r="X5" s="97" t="n"/>
      <c r="Y5" s="98" t="n"/>
      <c r="Z5" s="98" t="n"/>
      <c r="AA5" s="97" t="n"/>
      <c r="AB5" s="97" t="n"/>
      <c r="AC5" s="97" t="n"/>
      <c r="AD5" s="97" t="n"/>
      <c r="AE5" s="97" t="n"/>
      <c r="AF5" s="98" t="n"/>
      <c r="AG5" s="98" t="n"/>
      <c r="AH5" s="97" t="n"/>
      <c r="AI5" s="97" t="n"/>
    </row>
    <row r="6" ht="16" customHeight="1" s="82">
      <c r="A6" s="92" t="inlineStr">
        <is>
          <t>BA+Design</t>
        </is>
      </c>
      <c r="B6" s="93" t="inlineStr">
        <is>
          <t>Auth</t>
        </is>
      </c>
      <c r="C6" s="99" t="inlineStr">
        <is>
          <t>Wireframe: Login, phân quyền UI</t>
        </is>
      </c>
      <c r="D6" s="100" t="inlineStr">
        <is>
          <t>Tài</t>
        </is>
      </c>
      <c r="E6" s="98" t="n"/>
      <c r="F6" s="101" t="n"/>
      <c r="G6" s="96" t="n"/>
      <c r="H6" s="96" t="n"/>
      <c r="I6" s="96" t="n"/>
      <c r="J6" s="96" t="n"/>
      <c r="K6" s="96" t="n"/>
      <c r="L6" s="98" t="n"/>
      <c r="M6" s="101" t="n"/>
      <c r="N6" s="101" t="n"/>
      <c r="O6" s="101" t="n"/>
      <c r="P6" s="101" t="n"/>
      <c r="Q6" s="101" t="n"/>
      <c r="R6" s="98" t="n"/>
      <c r="S6" s="98" t="n"/>
      <c r="T6" s="101" t="n"/>
      <c r="U6" s="101" t="n"/>
      <c r="V6" s="101" t="n"/>
      <c r="W6" s="101" t="n"/>
      <c r="X6" s="101" t="n"/>
      <c r="Y6" s="98" t="n"/>
      <c r="Z6" s="98" t="n"/>
      <c r="AA6" s="101" t="n"/>
      <c r="AB6" s="101" t="n"/>
      <c r="AC6" s="101" t="n"/>
      <c r="AD6" s="101" t="n"/>
      <c r="AE6" s="101" t="n"/>
      <c r="AF6" s="98" t="n"/>
      <c r="AG6" s="98" t="n"/>
      <c r="AH6" s="101" t="n"/>
      <c r="AI6" s="101" t="n"/>
    </row>
    <row r="7" ht="16" customHeight="1" s="82">
      <c r="A7" s="92" t="inlineStr">
        <is>
          <t>BA+Design</t>
        </is>
      </c>
      <c r="B7" s="93" t="inlineStr">
        <is>
          <t>User Mgmt</t>
        </is>
      </c>
      <c r="C7" s="94" t="inlineStr">
        <is>
          <t>Spec: Tài khoản &amp; Liên kết định danh</t>
        </is>
      </c>
      <c r="D7" s="95" t="inlineStr">
        <is>
          <t>Tài</t>
        </is>
      </c>
      <c r="E7" s="98" t="n"/>
      <c r="F7" s="97" t="n"/>
      <c r="G7" s="97" t="n"/>
      <c r="H7" s="97" t="n"/>
      <c r="I7" s="96" t="n"/>
      <c r="J7" s="96" t="n"/>
      <c r="K7" s="96" t="n"/>
      <c r="L7" s="96" t="n"/>
      <c r="M7" s="96" t="n"/>
      <c r="N7" s="96" t="n"/>
      <c r="O7" s="97" t="n"/>
      <c r="P7" s="97" t="n"/>
      <c r="Q7" s="97" t="n"/>
      <c r="R7" s="98" t="n"/>
      <c r="S7" s="98" t="n"/>
      <c r="T7" s="97" t="n"/>
      <c r="U7" s="97" t="n"/>
      <c r="V7" s="97" t="n"/>
      <c r="W7" s="97" t="n"/>
      <c r="X7" s="97" t="n"/>
      <c r="Y7" s="98" t="n"/>
      <c r="Z7" s="98" t="n"/>
      <c r="AA7" s="97" t="n"/>
      <c r="AB7" s="97" t="n"/>
      <c r="AC7" s="97" t="n"/>
      <c r="AD7" s="97" t="n"/>
      <c r="AE7" s="97" t="n"/>
      <c r="AF7" s="98" t="n"/>
      <c r="AG7" s="98" t="n"/>
      <c r="AH7" s="97" t="n"/>
      <c r="AI7" s="97" t="n"/>
    </row>
    <row r="8" ht="16" customHeight="1" s="82">
      <c r="A8" s="92" t="inlineStr">
        <is>
          <t>BA+Design</t>
        </is>
      </c>
      <c r="B8" s="93" t="inlineStr">
        <is>
          <t>User Mgmt</t>
        </is>
      </c>
      <c r="C8" s="99" t="inlineStr">
        <is>
          <t>Wireframe: Màn hình user management</t>
        </is>
      </c>
      <c r="D8" s="100" t="inlineStr">
        <is>
          <t>Tài</t>
        </is>
      </c>
      <c r="E8" s="98" t="n"/>
      <c r="F8" s="101" t="n"/>
      <c r="G8" s="101" t="n"/>
      <c r="H8" s="101" t="n"/>
      <c r="I8" s="101" t="n"/>
      <c r="J8" s="101" t="n"/>
      <c r="K8" s="98" t="n"/>
      <c r="L8" s="98" t="n"/>
      <c r="M8" s="96" t="n"/>
      <c r="N8" s="96" t="n"/>
      <c r="O8" s="96" t="n"/>
      <c r="P8" s="96" t="n"/>
      <c r="Q8" s="96" t="n"/>
      <c r="R8" s="98" t="n"/>
      <c r="S8" s="98" t="n"/>
      <c r="T8" s="101" t="n"/>
      <c r="U8" s="101" t="n"/>
      <c r="V8" s="101" t="n"/>
      <c r="W8" s="101" t="n"/>
      <c r="X8" s="101" t="n"/>
      <c r="Y8" s="98" t="n"/>
      <c r="Z8" s="98" t="n"/>
      <c r="AA8" s="101" t="n"/>
      <c r="AB8" s="101" t="n"/>
      <c r="AC8" s="101" t="n"/>
      <c r="AD8" s="101" t="n"/>
      <c r="AE8" s="101" t="n"/>
      <c r="AF8" s="98" t="n"/>
      <c r="AG8" s="98" t="n"/>
      <c r="AH8" s="101" t="n"/>
      <c r="AI8" s="101" t="n"/>
    </row>
    <row r="9" ht="16" customHeight="1" s="82">
      <c r="A9" s="92" t="inlineStr">
        <is>
          <t>BA+Design</t>
        </is>
      </c>
      <c r="B9" s="93" t="inlineStr">
        <is>
          <t>Config</t>
        </is>
      </c>
      <c r="C9" s="94" t="inlineStr">
        <is>
          <t>Spec: Cấu hình &amp; Danh mục hệ thống</t>
        </is>
      </c>
      <c r="D9" s="95" t="inlineStr">
        <is>
          <t>Tài</t>
        </is>
      </c>
      <c r="E9" s="98" t="n"/>
      <c r="F9" s="97" t="n"/>
      <c r="G9" s="97" t="n"/>
      <c r="H9" s="97" t="n"/>
      <c r="I9" s="97" t="n"/>
      <c r="J9" s="97" t="n"/>
      <c r="K9" s="98" t="n"/>
      <c r="L9" s="98" t="n"/>
      <c r="M9" s="97" t="n"/>
      <c r="N9" s="97" t="n"/>
      <c r="O9" s="96" t="n"/>
      <c r="P9" s="96" t="n"/>
      <c r="Q9" s="96" t="n"/>
      <c r="R9" s="96" t="n"/>
      <c r="S9" s="96" t="n"/>
      <c r="T9" s="97" t="n"/>
      <c r="U9" s="97" t="n"/>
      <c r="V9" s="97" t="n"/>
      <c r="W9" s="97" t="n"/>
      <c r="X9" s="97" t="n"/>
      <c r="Y9" s="98" t="n"/>
      <c r="Z9" s="98" t="n"/>
      <c r="AA9" s="97" t="n"/>
      <c r="AB9" s="97" t="n"/>
      <c r="AC9" s="97" t="n"/>
      <c r="AD9" s="97" t="n"/>
      <c r="AE9" s="97" t="n"/>
      <c r="AF9" s="98" t="n"/>
      <c r="AG9" s="98" t="n"/>
      <c r="AH9" s="97" t="n"/>
      <c r="AI9" s="97" t="n"/>
    </row>
    <row r="10" ht="16" customHeight="1" s="82">
      <c r="A10" s="92" t="inlineStr">
        <is>
          <t>BA+Design</t>
        </is>
      </c>
      <c r="B10" s="93" t="inlineStr">
        <is>
          <t>Notify</t>
        </is>
      </c>
      <c r="C10" s="99" t="inlineStr">
        <is>
          <t>Spec: Notification engine</t>
        </is>
      </c>
      <c r="D10" s="100" t="inlineStr">
        <is>
          <t>Khải</t>
        </is>
      </c>
      <c r="E10" s="98" t="n"/>
      <c r="F10" s="101" t="n"/>
      <c r="G10" s="101" t="n"/>
      <c r="H10" s="101" t="n"/>
      <c r="I10" s="101" t="n"/>
      <c r="J10" s="101" t="n"/>
      <c r="K10" s="98" t="n"/>
      <c r="L10" s="98" t="n"/>
      <c r="M10" s="101" t="n"/>
      <c r="N10" s="101" t="n"/>
      <c r="O10" s="101" t="n"/>
      <c r="P10" s="101" t="n"/>
      <c r="Q10" s="96" t="n"/>
      <c r="R10" s="96" t="n"/>
      <c r="S10" s="96" t="n"/>
      <c r="T10" s="96" t="n"/>
      <c r="U10" s="96" t="n"/>
      <c r="V10" s="96" t="n"/>
      <c r="W10" s="101" t="n"/>
      <c r="X10" s="101" t="n"/>
      <c r="Y10" s="98" t="n"/>
      <c r="Z10" s="98" t="n"/>
      <c r="AA10" s="101" t="n"/>
      <c r="AB10" s="101" t="n"/>
      <c r="AC10" s="101" t="n"/>
      <c r="AD10" s="101" t="n"/>
      <c r="AE10" s="101" t="n"/>
      <c r="AF10" s="98" t="n"/>
      <c r="AG10" s="98" t="n"/>
      <c r="AH10" s="101" t="n"/>
      <c r="AI10" s="101" t="n"/>
    </row>
    <row r="11" ht="16" customHeight="1" s="82">
      <c r="A11" s="92" t="inlineStr">
        <is>
          <t>BA+Design</t>
        </is>
      </c>
      <c r="B11" s="93" t="inlineStr">
        <is>
          <t>Notify</t>
        </is>
      </c>
      <c r="C11" s="94" t="inlineStr">
        <is>
          <t>Wireframe: Màn hình thông báo</t>
        </is>
      </c>
      <c r="D11" s="95" t="inlineStr">
        <is>
          <t>Khải</t>
        </is>
      </c>
      <c r="E11" s="98" t="n"/>
      <c r="F11" s="97" t="n"/>
      <c r="G11" s="97" t="n"/>
      <c r="H11" s="97" t="n"/>
      <c r="I11" s="97" t="n"/>
      <c r="J11" s="97" t="n"/>
      <c r="K11" s="98" t="n"/>
      <c r="L11" s="98" t="n"/>
      <c r="M11" s="97" t="n"/>
      <c r="N11" s="97" t="n"/>
      <c r="O11" s="97" t="n"/>
      <c r="P11" s="97" t="n"/>
      <c r="Q11" s="97" t="n"/>
      <c r="R11" s="98" t="n"/>
      <c r="S11" s="98" t="n"/>
      <c r="T11" s="97" t="n"/>
      <c r="U11" s="96" t="n"/>
      <c r="V11" s="96" t="n"/>
      <c r="W11" s="96" t="n"/>
      <c r="X11" s="96" t="n"/>
      <c r="Y11" s="96" t="n"/>
      <c r="Z11" s="98" t="n"/>
      <c r="AA11" s="97" t="n"/>
      <c r="AB11" s="97" t="n"/>
      <c r="AC11" s="97" t="n"/>
      <c r="AD11" s="97" t="n"/>
      <c r="AE11" s="97" t="n"/>
      <c r="AF11" s="98" t="n"/>
      <c r="AG11" s="98" t="n"/>
      <c r="AH11" s="97" t="n"/>
      <c r="AI11" s="97" t="n"/>
    </row>
    <row r="12" ht="16" customHeight="1" s="82">
      <c r="A12" s="92" t="inlineStr">
        <is>
          <t>BA+Design</t>
        </is>
      </c>
      <c r="B12" s="93" t="inlineStr">
        <is>
          <t>Reporting</t>
        </is>
      </c>
      <c r="C12" s="99" t="inlineStr">
        <is>
          <t>Spec: Dashboard &amp; Báo cáo tổng quan</t>
        </is>
      </c>
      <c r="D12" s="100" t="inlineStr">
        <is>
          <t>Thưởng</t>
        </is>
      </c>
      <c r="E12" s="98" t="n"/>
      <c r="F12" s="101" t="n"/>
      <c r="G12" s="101" t="n"/>
      <c r="H12" s="101" t="n"/>
      <c r="I12" s="101" t="n"/>
      <c r="J12" s="101" t="n"/>
      <c r="K12" s="98" t="n"/>
      <c r="L12" s="98" t="n"/>
      <c r="M12" s="101" t="n"/>
      <c r="N12" s="101" t="n"/>
      <c r="O12" s="101" t="n"/>
      <c r="P12" s="101" t="n"/>
      <c r="Q12" s="101" t="n"/>
      <c r="R12" s="98" t="n"/>
      <c r="S12" s="98" t="n"/>
      <c r="T12" s="101" t="n"/>
      <c r="U12" s="101" t="n"/>
      <c r="V12" s="101" t="n"/>
      <c r="W12" s="96" t="n"/>
      <c r="X12" s="96" t="n"/>
      <c r="Y12" s="96" t="n"/>
      <c r="Z12" s="96" t="n"/>
      <c r="AA12" s="96" t="n"/>
      <c r="AB12" s="101" t="n"/>
      <c r="AC12" s="101" t="n"/>
      <c r="AD12" s="101" t="n"/>
      <c r="AE12" s="101" t="n"/>
      <c r="AF12" s="98" t="n"/>
      <c r="AG12" s="98" t="n"/>
      <c r="AH12" s="101" t="n"/>
      <c r="AI12" s="101" t="n"/>
    </row>
    <row r="13" ht="16" customHeight="1" s="82">
      <c r="A13" s="92" t="inlineStr">
        <is>
          <t>BA+Design</t>
        </is>
      </c>
      <c r="B13" s="93" t="inlineStr">
        <is>
          <t>Audit</t>
        </is>
      </c>
      <c r="C13" s="94" t="inlineStr">
        <is>
          <t>Spec: Audit log</t>
        </is>
      </c>
      <c r="D13" s="95" t="inlineStr">
        <is>
          <t>Khải</t>
        </is>
      </c>
      <c r="E13" s="98" t="n"/>
      <c r="F13" s="97" t="n"/>
      <c r="G13" s="97" t="n"/>
      <c r="H13" s="97" t="n"/>
      <c r="I13" s="97" t="n"/>
      <c r="J13" s="97" t="n"/>
      <c r="K13" s="98" t="n"/>
      <c r="L13" s="98" t="n"/>
      <c r="M13" s="97" t="n"/>
      <c r="N13" s="97" t="n"/>
      <c r="O13" s="97" t="n"/>
      <c r="P13" s="97" t="n"/>
      <c r="Q13" s="97" t="n"/>
      <c r="R13" s="98" t="n"/>
      <c r="S13" s="98" t="n"/>
      <c r="T13" s="97" t="n"/>
      <c r="U13" s="97" t="n"/>
      <c r="V13" s="97" t="n"/>
      <c r="W13" s="97" t="n"/>
      <c r="X13" s="97" t="n"/>
      <c r="Y13" s="96" t="n"/>
      <c r="Z13" s="96" t="n"/>
      <c r="AA13" s="96" t="n"/>
      <c r="AB13" s="96" t="n"/>
      <c r="AC13" s="96" t="n"/>
      <c r="AD13" s="97" t="n"/>
      <c r="AE13" s="97" t="n"/>
      <c r="AF13" s="98" t="n"/>
      <c r="AG13" s="98" t="n"/>
      <c r="AH13" s="97" t="n"/>
      <c r="AI13" s="97" t="n"/>
    </row>
    <row r="14" ht="16" customHeight="1" s="82">
      <c r="A14" s="92" t="inlineStr">
        <is>
          <t>BA+Design</t>
        </is>
      </c>
      <c r="B14" s="93" t="inlineStr">
        <is>
          <t>Review</t>
        </is>
      </c>
      <c r="C14" s="99" t="inlineStr">
        <is>
          <t>Design review &amp; handoff tổng thể</t>
        </is>
      </c>
      <c r="D14" s="100" t="inlineStr">
        <is>
          <t>Cả nhóm</t>
        </is>
      </c>
      <c r="E14" s="98" t="n"/>
      <c r="F14" s="101" t="n"/>
      <c r="G14" s="101" t="n"/>
      <c r="H14" s="101" t="n"/>
      <c r="I14" s="101" t="n"/>
      <c r="J14" s="101" t="n"/>
      <c r="K14" s="98" t="n"/>
      <c r="L14" s="98" t="n"/>
      <c r="M14" s="101" t="n"/>
      <c r="N14" s="101" t="n"/>
      <c r="O14" s="101" t="n"/>
      <c r="P14" s="101" t="n"/>
      <c r="Q14" s="101" t="n"/>
      <c r="R14" s="98" t="n"/>
      <c r="S14" s="98" t="n"/>
      <c r="T14" s="101" t="n"/>
      <c r="U14" s="101" t="n"/>
      <c r="V14" s="101" t="n"/>
      <c r="W14" s="101" t="n"/>
      <c r="X14" s="101" t="n"/>
      <c r="Y14" s="98" t="n"/>
      <c r="Z14" s="98" t="n"/>
      <c r="AA14" s="101" t="n"/>
      <c r="AB14" s="101" t="n"/>
      <c r="AC14" s="101" t="n"/>
      <c r="AD14" s="96" t="n"/>
      <c r="AE14" s="96" t="n"/>
      <c r="AF14" s="96" t="n"/>
      <c r="AG14" s="96" t="n"/>
      <c r="AH14" s="96" t="n"/>
      <c r="AI14" s="96" t="n"/>
    </row>
    <row r="15" ht="18" customHeight="1" s="82">
      <c r="A15" s="102" t="inlineStr">
        <is>
          <t>Backend</t>
        </is>
      </c>
    </row>
    <row r="16" ht="16" customHeight="1" s="82">
      <c r="A16" s="103" t="inlineStr">
        <is>
          <t>Backend</t>
        </is>
      </c>
      <c r="B16" s="104" t="inlineStr">
        <is>
          <t>Auth</t>
        </is>
      </c>
      <c r="C16" s="94" t="inlineStr">
        <is>
          <t>API: Auth (JWT, refresh token)</t>
        </is>
      </c>
      <c r="D16" s="105" t="inlineStr">
        <is>
          <t>Thưởng</t>
        </is>
      </c>
      <c r="E16" s="106" t="n"/>
      <c r="F16" s="106" t="n"/>
      <c r="G16" s="106" t="n"/>
      <c r="H16" s="106" t="n"/>
      <c r="I16" s="106" t="n"/>
      <c r="J16" s="106" t="n"/>
      <c r="K16" s="106" t="n"/>
      <c r="L16" s="98" t="n"/>
      <c r="M16" s="97" t="n"/>
      <c r="N16" s="97" t="n"/>
      <c r="O16" s="97" t="n"/>
      <c r="P16" s="97" t="n"/>
      <c r="Q16" s="97" t="n"/>
      <c r="R16" s="98" t="n"/>
      <c r="S16" s="98" t="n"/>
      <c r="T16" s="97" t="n"/>
      <c r="U16" s="97" t="n"/>
      <c r="V16" s="97" t="n"/>
      <c r="W16" s="97" t="n"/>
      <c r="X16" s="97" t="n"/>
      <c r="Y16" s="98" t="n"/>
      <c r="Z16" s="98" t="n"/>
      <c r="AA16" s="97" t="n"/>
      <c r="AB16" s="97" t="n"/>
      <c r="AC16" s="97" t="n"/>
      <c r="AD16" s="97" t="n"/>
      <c r="AE16" s="97" t="n"/>
      <c r="AF16" s="98" t="n"/>
      <c r="AG16" s="98" t="n"/>
      <c r="AH16" s="97" t="n"/>
      <c r="AI16" s="97" t="n"/>
    </row>
    <row r="17" ht="16" customHeight="1" s="82">
      <c r="A17" s="103" t="inlineStr">
        <is>
          <t>Backend</t>
        </is>
      </c>
      <c r="B17" s="104" t="inlineStr">
        <is>
          <t>Auth</t>
        </is>
      </c>
      <c r="C17" s="99" t="inlineStr">
        <is>
          <t>API: RBAC middleware &amp; roles</t>
        </is>
      </c>
      <c r="D17" s="107" t="inlineStr">
        <is>
          <t>Thưởng</t>
        </is>
      </c>
      <c r="E17" s="98" t="n"/>
      <c r="F17" s="101" t="n"/>
      <c r="G17" s="101" t="n"/>
      <c r="H17" s="101" t="n"/>
      <c r="I17" s="106" t="n"/>
      <c r="J17" s="106" t="n"/>
      <c r="K17" s="106" t="n"/>
      <c r="L17" s="106" t="n"/>
      <c r="M17" s="106" t="n"/>
      <c r="N17" s="106" t="n"/>
      <c r="O17" s="106" t="n"/>
      <c r="P17" s="101" t="n"/>
      <c r="Q17" s="101" t="n"/>
      <c r="R17" s="98" t="n"/>
      <c r="S17" s="98" t="n"/>
      <c r="T17" s="101" t="n"/>
      <c r="U17" s="101" t="n"/>
      <c r="V17" s="101" t="n"/>
      <c r="W17" s="101" t="n"/>
      <c r="X17" s="101" t="n"/>
      <c r="Y17" s="98" t="n"/>
      <c r="Z17" s="98" t="n"/>
      <c r="AA17" s="101" t="n"/>
      <c r="AB17" s="101" t="n"/>
      <c r="AC17" s="101" t="n"/>
      <c r="AD17" s="101" t="n"/>
      <c r="AE17" s="101" t="n"/>
      <c r="AF17" s="98" t="n"/>
      <c r="AG17" s="98" t="n"/>
      <c r="AH17" s="101" t="n"/>
      <c r="AI17" s="101" t="n"/>
    </row>
    <row r="18" ht="16" customHeight="1" s="82">
      <c r="A18" s="103" t="inlineStr">
        <is>
          <t>Backend</t>
        </is>
      </c>
      <c r="B18" s="104" t="inlineStr">
        <is>
          <t>User Mgmt</t>
        </is>
      </c>
      <c r="C18" s="94" t="inlineStr">
        <is>
          <t>API: CRUD tài khoản</t>
        </is>
      </c>
      <c r="D18" s="105" t="inlineStr">
        <is>
          <t>Khải</t>
        </is>
      </c>
      <c r="E18" s="98" t="n"/>
      <c r="F18" s="97" t="n"/>
      <c r="G18" s="97" t="n"/>
      <c r="H18" s="97" t="n"/>
      <c r="I18" s="97" t="n"/>
      <c r="J18" s="97" t="n"/>
      <c r="K18" s="98" t="n"/>
      <c r="L18" s="98" t="n"/>
      <c r="M18" s="106" t="n"/>
      <c r="N18" s="106" t="n"/>
      <c r="O18" s="106" t="n"/>
      <c r="P18" s="106" t="n"/>
      <c r="Q18" s="106" t="n"/>
      <c r="R18" s="106" t="n"/>
      <c r="S18" s="98" t="n"/>
      <c r="T18" s="97" t="n"/>
      <c r="U18" s="97" t="n"/>
      <c r="V18" s="97" t="n"/>
      <c r="W18" s="97" t="n"/>
      <c r="X18" s="97" t="n"/>
      <c r="Y18" s="98" t="n"/>
      <c r="Z18" s="98" t="n"/>
      <c r="AA18" s="97" t="n"/>
      <c r="AB18" s="97" t="n"/>
      <c r="AC18" s="97" t="n"/>
      <c r="AD18" s="97" t="n"/>
      <c r="AE18" s="97" t="n"/>
      <c r="AF18" s="98" t="n"/>
      <c r="AG18" s="98" t="n"/>
      <c r="AH18" s="97" t="n"/>
      <c r="AI18" s="97" t="n"/>
    </row>
    <row r="19" ht="16" customHeight="1" s="82">
      <c r="A19" s="103" t="inlineStr">
        <is>
          <t>Backend</t>
        </is>
      </c>
      <c r="B19" s="104" t="inlineStr">
        <is>
          <t>User Mgmt</t>
        </is>
      </c>
      <c r="C19" s="99" t="inlineStr">
        <is>
          <t>API: Liên kết tài khoản ↔ cư dân</t>
        </is>
      </c>
      <c r="D19" s="107" t="inlineStr">
        <is>
          <t>Thưởng</t>
        </is>
      </c>
      <c r="E19" s="98" t="n"/>
      <c r="F19" s="101" t="n"/>
      <c r="G19" s="101" t="n"/>
      <c r="H19" s="101" t="n"/>
      <c r="I19" s="101" t="n"/>
      <c r="J19" s="101" t="n"/>
      <c r="K19" s="98" t="n"/>
      <c r="L19" s="98" t="n"/>
      <c r="M19" s="101" t="n"/>
      <c r="N19" s="101" t="n"/>
      <c r="O19" s="101" t="n"/>
      <c r="P19" s="101" t="n"/>
      <c r="Q19" s="106" t="n"/>
      <c r="R19" s="106" t="n"/>
      <c r="S19" s="106" t="n"/>
      <c r="T19" s="106" t="n"/>
      <c r="U19" s="106" t="n"/>
      <c r="V19" s="106" t="n"/>
      <c r="W19" s="101" t="n"/>
      <c r="X19" s="101" t="n"/>
      <c r="Y19" s="98" t="n"/>
      <c r="Z19" s="98" t="n"/>
      <c r="AA19" s="101" t="n"/>
      <c r="AB19" s="101" t="n"/>
      <c r="AC19" s="101" t="n"/>
      <c r="AD19" s="101" t="n"/>
      <c r="AE19" s="101" t="n"/>
      <c r="AF19" s="98" t="n"/>
      <c r="AG19" s="98" t="n"/>
      <c r="AH19" s="101" t="n"/>
      <c r="AI19" s="101" t="n"/>
    </row>
    <row r="20" ht="16" customHeight="1" s="82">
      <c r="A20" s="103" t="inlineStr">
        <is>
          <t>Backend</t>
        </is>
      </c>
      <c r="B20" s="104" t="inlineStr">
        <is>
          <t>Config</t>
        </is>
      </c>
      <c r="C20" s="94" t="inlineStr">
        <is>
          <t>API: Cấu hình &amp; Danh mục</t>
        </is>
      </c>
      <c r="D20" s="105" t="inlineStr">
        <is>
          <t>Thưởng</t>
        </is>
      </c>
      <c r="E20" s="98" t="n"/>
      <c r="F20" s="97" t="n"/>
      <c r="G20" s="97" t="n"/>
      <c r="H20" s="97" t="n"/>
      <c r="I20" s="97" t="n"/>
      <c r="J20" s="97" t="n"/>
      <c r="K20" s="98" t="n"/>
      <c r="L20" s="98" t="n"/>
      <c r="M20" s="97" t="n"/>
      <c r="N20" s="97" t="n"/>
      <c r="O20" s="106" t="n"/>
      <c r="P20" s="106" t="n"/>
      <c r="Q20" s="106" t="n"/>
      <c r="R20" s="106" t="n"/>
      <c r="S20" s="106" t="n"/>
      <c r="T20" s="106" t="n"/>
      <c r="U20" s="97" t="n"/>
      <c r="V20" s="97" t="n"/>
      <c r="W20" s="97" t="n"/>
      <c r="X20" s="97" t="n"/>
      <c r="Y20" s="98" t="n"/>
      <c r="Z20" s="98" t="n"/>
      <c r="AA20" s="97" t="n"/>
      <c r="AB20" s="97" t="n"/>
      <c r="AC20" s="97" t="n"/>
      <c r="AD20" s="97" t="n"/>
      <c r="AE20" s="97" t="n"/>
      <c r="AF20" s="98" t="n"/>
      <c r="AG20" s="98" t="n"/>
      <c r="AH20" s="97" t="n"/>
      <c r="AI20" s="97" t="n"/>
    </row>
    <row r="21" ht="16" customHeight="1" s="82">
      <c r="A21" s="103" t="inlineStr">
        <is>
          <t>Backend</t>
        </is>
      </c>
      <c r="B21" s="104" t="inlineStr">
        <is>
          <t>Notify</t>
        </is>
      </c>
      <c r="C21" s="99" t="inlineStr">
        <is>
          <t>Service: Notification (push/email)</t>
        </is>
      </c>
      <c r="D21" s="107" t="inlineStr">
        <is>
          <t>Khải</t>
        </is>
      </c>
      <c r="E21" s="98" t="n"/>
      <c r="F21" s="101" t="n"/>
      <c r="G21" s="101" t="n"/>
      <c r="H21" s="101" t="n"/>
      <c r="I21" s="101" t="n"/>
      <c r="J21" s="101" t="n"/>
      <c r="K21" s="98" t="n"/>
      <c r="L21" s="98" t="n"/>
      <c r="M21" s="101" t="n"/>
      <c r="N21" s="101" t="n"/>
      <c r="O21" s="101" t="n"/>
      <c r="P21" s="101" t="n"/>
      <c r="Q21" s="101" t="n"/>
      <c r="R21" s="98" t="n"/>
      <c r="S21" s="98" t="n"/>
      <c r="T21" s="101" t="n"/>
      <c r="U21" s="106" t="n"/>
      <c r="V21" s="106" t="n"/>
      <c r="W21" s="106" t="n"/>
      <c r="X21" s="106" t="n"/>
      <c r="Y21" s="106" t="n"/>
      <c r="Z21" s="106" t="n"/>
      <c r="AA21" s="106" t="n"/>
      <c r="AB21" s="101" t="n"/>
      <c r="AC21" s="101" t="n"/>
      <c r="AD21" s="101" t="n"/>
      <c r="AE21" s="101" t="n"/>
      <c r="AF21" s="98" t="n"/>
      <c r="AG21" s="98" t="n"/>
      <c r="AH21" s="101" t="n"/>
      <c r="AI21" s="101" t="n"/>
    </row>
    <row r="22" ht="16" customHeight="1" s="82">
      <c r="A22" s="103" t="inlineStr">
        <is>
          <t>Backend</t>
        </is>
      </c>
      <c r="B22" s="104" t="inlineStr">
        <is>
          <t>Reporting</t>
        </is>
      </c>
      <c r="C22" s="94" t="inlineStr">
        <is>
          <t>API: Dashboard &amp; Thống kê tổng hợp</t>
        </is>
      </c>
      <c r="D22" s="105" t="inlineStr">
        <is>
          <t>Thưởng</t>
        </is>
      </c>
      <c r="E22" s="98" t="n"/>
      <c r="F22" s="97" t="n"/>
      <c r="G22" s="97" t="n"/>
      <c r="H22" s="97" t="n"/>
      <c r="I22" s="97" t="n"/>
      <c r="J22" s="97" t="n"/>
      <c r="K22" s="98" t="n"/>
      <c r="L22" s="98" t="n"/>
      <c r="M22" s="97" t="n"/>
      <c r="N22" s="97" t="n"/>
      <c r="O22" s="97" t="n"/>
      <c r="P22" s="97" t="n"/>
      <c r="Q22" s="97" t="n"/>
      <c r="R22" s="98" t="n"/>
      <c r="S22" s="98" t="n"/>
      <c r="T22" s="97" t="n"/>
      <c r="U22" s="97" t="n"/>
      <c r="V22" s="97" t="n"/>
      <c r="W22" s="97" t="n"/>
      <c r="X22" s="97" t="n"/>
      <c r="Y22" s="106" t="n"/>
      <c r="Z22" s="106" t="n"/>
      <c r="AA22" s="106" t="n"/>
      <c r="AB22" s="106" t="n"/>
      <c r="AC22" s="106" t="n"/>
      <c r="AD22" s="106" t="n"/>
      <c r="AE22" s="97" t="n"/>
      <c r="AF22" s="98" t="n"/>
      <c r="AG22" s="98" t="n"/>
      <c r="AH22" s="97" t="n"/>
      <c r="AI22" s="97" t="n"/>
    </row>
    <row r="23" ht="16" customHeight="1" s="82">
      <c r="A23" s="103" t="inlineStr">
        <is>
          <t>Backend</t>
        </is>
      </c>
      <c r="B23" s="104" t="inlineStr">
        <is>
          <t>Audit</t>
        </is>
      </c>
      <c r="C23" s="99" t="inlineStr">
        <is>
          <t>API: Audit log</t>
        </is>
      </c>
      <c r="D23" s="107" t="inlineStr">
        <is>
          <t>Tài</t>
        </is>
      </c>
      <c r="E23" s="98" t="n"/>
      <c r="F23" s="101" t="n"/>
      <c r="G23" s="101" t="n"/>
      <c r="H23" s="101" t="n"/>
      <c r="I23" s="101" t="n"/>
      <c r="J23" s="101" t="n"/>
      <c r="K23" s="98" t="n"/>
      <c r="L23" s="98" t="n"/>
      <c r="M23" s="101" t="n"/>
      <c r="N23" s="101" t="n"/>
      <c r="O23" s="101" t="n"/>
      <c r="P23" s="101" t="n"/>
      <c r="Q23" s="101" t="n"/>
      <c r="R23" s="98" t="n"/>
      <c r="S23" s="98" t="n"/>
      <c r="T23" s="101" t="n"/>
      <c r="U23" s="101" t="n"/>
      <c r="V23" s="101" t="n"/>
      <c r="W23" s="101" t="n"/>
      <c r="X23" s="101" t="n"/>
      <c r="Y23" s="98" t="n"/>
      <c r="Z23" s="98" t="n"/>
      <c r="AA23" s="101" t="n"/>
      <c r="AB23" s="106" t="n"/>
      <c r="AC23" s="106" t="n"/>
      <c r="AD23" s="106" t="n"/>
      <c r="AE23" s="106" t="n"/>
      <c r="AF23" s="106" t="n"/>
      <c r="AG23" s="98" t="n"/>
      <c r="AH23" s="101" t="n"/>
      <c r="AI23" s="101" t="n"/>
    </row>
    <row r="24" ht="16" customHeight="1" s="82">
      <c r="A24" s="103" t="inlineStr">
        <is>
          <t>Backend</t>
        </is>
      </c>
      <c r="B24" s="104" t="inlineStr">
        <is>
          <t>Testing</t>
        </is>
      </c>
      <c r="C24" s="94" t="inlineStr">
        <is>
          <t>Unit test &amp; integration test</t>
        </is>
      </c>
      <c r="D24" s="105" t="inlineStr">
        <is>
          <t>Cả nhóm</t>
        </is>
      </c>
      <c r="E24" s="98" t="n"/>
      <c r="F24" s="97" t="n"/>
      <c r="G24" s="97" t="n"/>
      <c r="H24" s="97" t="n"/>
      <c r="I24" s="97" t="n"/>
      <c r="J24" s="97" t="n"/>
      <c r="K24" s="98" t="n"/>
      <c r="L24" s="98" t="n"/>
      <c r="M24" s="97" t="n"/>
      <c r="N24" s="97" t="n"/>
      <c r="O24" s="97" t="n"/>
      <c r="P24" s="97" t="n"/>
      <c r="Q24" s="97" t="n"/>
      <c r="R24" s="98" t="n"/>
      <c r="S24" s="98" t="n"/>
      <c r="T24" s="97" t="n"/>
      <c r="U24" s="97" t="n"/>
      <c r="V24" s="97" t="n"/>
      <c r="W24" s="97" t="n"/>
      <c r="X24" s="97" t="n"/>
      <c r="Y24" s="98" t="n"/>
      <c r="Z24" s="98" t="n"/>
      <c r="AA24" s="97" t="n"/>
      <c r="AB24" s="97" t="n"/>
      <c r="AC24" s="97" t="n"/>
      <c r="AD24" s="106" t="n"/>
      <c r="AE24" s="106" t="n"/>
      <c r="AF24" s="106" t="n"/>
      <c r="AG24" s="106" t="n"/>
      <c r="AH24" s="106" t="n"/>
      <c r="AI24" s="106" t="n"/>
    </row>
    <row r="25" ht="18" customHeight="1" s="82">
      <c r="A25" s="108" t="inlineStr">
        <is>
          <t>Frontend</t>
        </is>
      </c>
    </row>
    <row r="26" ht="16" customHeight="1" s="82">
      <c r="A26" s="109" t="inlineStr">
        <is>
          <t>Frontend</t>
        </is>
      </c>
      <c r="B26" s="110" t="inlineStr">
        <is>
          <t>Auth</t>
        </is>
      </c>
      <c r="C26" s="94" t="inlineStr">
        <is>
          <t>UI: Màn hình Login</t>
        </is>
      </c>
      <c r="D26" s="111" t="inlineStr">
        <is>
          <t>Khải</t>
        </is>
      </c>
      <c r="E26" s="98" t="n"/>
      <c r="F26" s="97" t="n"/>
      <c r="G26" s="97" t="n"/>
      <c r="H26" s="112" t="n"/>
      <c r="I26" s="112" t="n"/>
      <c r="J26" s="112" t="n"/>
      <c r="K26" s="112" t="n"/>
      <c r="L26" s="112" t="n"/>
      <c r="M26" s="112" t="n"/>
      <c r="N26" s="97" t="n"/>
      <c r="O26" s="97" t="n"/>
      <c r="P26" s="97" t="n"/>
      <c r="Q26" s="97" t="n"/>
      <c r="R26" s="98" t="n"/>
      <c r="S26" s="98" t="n"/>
      <c r="T26" s="97" t="n"/>
      <c r="U26" s="97" t="n"/>
      <c r="V26" s="97" t="n"/>
      <c r="W26" s="97" t="n"/>
      <c r="X26" s="97" t="n"/>
      <c r="Y26" s="98" t="n"/>
      <c r="Z26" s="98" t="n"/>
      <c r="AA26" s="97" t="n"/>
      <c r="AB26" s="97" t="n"/>
      <c r="AC26" s="97" t="n"/>
      <c r="AD26" s="97" t="n"/>
      <c r="AE26" s="97" t="n"/>
      <c r="AF26" s="98" t="n"/>
      <c r="AG26" s="98" t="n"/>
      <c r="AH26" s="97" t="n"/>
      <c r="AI26" s="97" t="n"/>
    </row>
    <row r="27" ht="16" customHeight="1" s="82">
      <c r="A27" s="109" t="inlineStr">
        <is>
          <t>Frontend</t>
        </is>
      </c>
      <c r="B27" s="110" t="inlineStr">
        <is>
          <t>Auth</t>
        </is>
      </c>
      <c r="C27" s="99" t="inlineStr">
        <is>
          <t>UI: Phân quyền / role guard</t>
        </is>
      </c>
      <c r="D27" s="113" t="inlineStr">
        <is>
          <t>Thưởng</t>
        </is>
      </c>
      <c r="E27" s="98" t="n"/>
      <c r="F27" s="101" t="n"/>
      <c r="G27" s="101" t="n"/>
      <c r="H27" s="101" t="n"/>
      <c r="I27" s="101" t="n"/>
      <c r="J27" s="101" t="n"/>
      <c r="K27" s="98" t="n"/>
      <c r="L27" s="98" t="n"/>
      <c r="M27" s="112" t="n"/>
      <c r="N27" s="112" t="n"/>
      <c r="O27" s="112" t="n"/>
      <c r="P27" s="112" t="n"/>
      <c r="Q27" s="112" t="n"/>
      <c r="R27" s="98" t="n"/>
      <c r="S27" s="98" t="n"/>
      <c r="T27" s="101" t="n"/>
      <c r="U27" s="101" t="n"/>
      <c r="V27" s="101" t="n"/>
      <c r="W27" s="101" t="n"/>
      <c r="X27" s="101" t="n"/>
      <c r="Y27" s="98" t="n"/>
      <c r="Z27" s="98" t="n"/>
      <c r="AA27" s="101" t="n"/>
      <c r="AB27" s="101" t="n"/>
      <c r="AC27" s="101" t="n"/>
      <c r="AD27" s="101" t="n"/>
      <c r="AE27" s="101" t="n"/>
      <c r="AF27" s="98" t="n"/>
      <c r="AG27" s="98" t="n"/>
      <c r="AH27" s="101" t="n"/>
      <c r="AI27" s="101" t="n"/>
    </row>
    <row r="28" ht="16" customHeight="1" s="82">
      <c r="A28" s="109" t="inlineStr">
        <is>
          <t>Frontend</t>
        </is>
      </c>
      <c r="B28" s="110" t="inlineStr">
        <is>
          <t>User Mgmt</t>
        </is>
      </c>
      <c r="C28" s="94" t="inlineStr">
        <is>
          <t>UI: Quản lý tài khoản</t>
        </is>
      </c>
      <c r="D28" s="111" t="inlineStr">
        <is>
          <t>Khải</t>
        </is>
      </c>
      <c r="E28" s="98" t="n"/>
      <c r="F28" s="97" t="n"/>
      <c r="G28" s="97" t="n"/>
      <c r="H28" s="97" t="n"/>
      <c r="I28" s="97" t="n"/>
      <c r="J28" s="97" t="n"/>
      <c r="K28" s="98" t="n"/>
      <c r="L28" s="98" t="n"/>
      <c r="M28" s="97" t="n"/>
      <c r="N28" s="97" t="n"/>
      <c r="O28" s="97" t="n"/>
      <c r="P28" s="112" t="n"/>
      <c r="Q28" s="112" t="n"/>
      <c r="R28" s="112" t="n"/>
      <c r="S28" s="112" t="n"/>
      <c r="T28" s="112" t="n"/>
      <c r="U28" s="112" t="n"/>
      <c r="V28" s="97" t="n"/>
      <c r="W28" s="97" t="n"/>
      <c r="X28" s="97" t="n"/>
      <c r="Y28" s="98" t="n"/>
      <c r="Z28" s="98" t="n"/>
      <c r="AA28" s="97" t="n"/>
      <c r="AB28" s="97" t="n"/>
      <c r="AC28" s="97" t="n"/>
      <c r="AD28" s="97" t="n"/>
      <c r="AE28" s="97" t="n"/>
      <c r="AF28" s="98" t="n"/>
      <c r="AG28" s="98" t="n"/>
      <c r="AH28" s="97" t="n"/>
      <c r="AI28" s="97" t="n"/>
    </row>
    <row r="29" ht="16" customHeight="1" s="82">
      <c r="A29" s="109" t="inlineStr">
        <is>
          <t>Frontend</t>
        </is>
      </c>
      <c r="B29" s="110" t="inlineStr">
        <is>
          <t>Config</t>
        </is>
      </c>
      <c r="C29" s="99" t="inlineStr">
        <is>
          <t>UI: Cấu hình hệ thống &amp; Danh mục</t>
        </is>
      </c>
      <c r="D29" s="113" t="inlineStr">
        <is>
          <t>Khải</t>
        </is>
      </c>
      <c r="E29" s="98" t="n"/>
      <c r="F29" s="101" t="n"/>
      <c r="G29" s="101" t="n"/>
      <c r="H29" s="101" t="n"/>
      <c r="I29" s="101" t="n"/>
      <c r="J29" s="101" t="n"/>
      <c r="K29" s="98" t="n"/>
      <c r="L29" s="98" t="n"/>
      <c r="M29" s="101" t="n"/>
      <c r="N29" s="101" t="n"/>
      <c r="O29" s="101" t="n"/>
      <c r="P29" s="101" t="n"/>
      <c r="Q29" s="101" t="n"/>
      <c r="R29" s="98" t="n"/>
      <c r="S29" s="112" t="n"/>
      <c r="T29" s="112" t="n"/>
      <c r="U29" s="112" t="n"/>
      <c r="V29" s="112" t="n"/>
      <c r="W29" s="112" t="n"/>
      <c r="X29" s="112" t="n"/>
      <c r="Y29" s="98" t="n"/>
      <c r="Z29" s="98" t="n"/>
      <c r="AA29" s="101" t="n"/>
      <c r="AB29" s="101" t="n"/>
      <c r="AC29" s="101" t="n"/>
      <c r="AD29" s="101" t="n"/>
      <c r="AE29" s="101" t="n"/>
      <c r="AF29" s="98" t="n"/>
      <c r="AG29" s="98" t="n"/>
      <c r="AH29" s="101" t="n"/>
      <c r="AI29" s="101" t="n"/>
    </row>
    <row r="30" ht="16" customHeight="1" s="82">
      <c r="A30" s="109" t="inlineStr">
        <is>
          <t>Frontend</t>
        </is>
      </c>
      <c r="B30" s="110" t="inlineStr">
        <is>
          <t>Notify</t>
        </is>
      </c>
      <c r="C30" s="94" t="inlineStr">
        <is>
          <t>UI: Notification center</t>
        </is>
      </c>
      <c r="D30" s="111" t="inlineStr">
        <is>
          <t>Khải</t>
        </is>
      </c>
      <c r="E30" s="98" t="n"/>
      <c r="F30" s="97" t="n"/>
      <c r="G30" s="97" t="n"/>
      <c r="H30" s="97" t="n"/>
      <c r="I30" s="97" t="n"/>
      <c r="J30" s="97" t="n"/>
      <c r="K30" s="98" t="n"/>
      <c r="L30" s="98" t="n"/>
      <c r="M30" s="97" t="n"/>
      <c r="N30" s="97" t="n"/>
      <c r="O30" s="97" t="n"/>
      <c r="P30" s="97" t="n"/>
      <c r="Q30" s="97" t="n"/>
      <c r="R30" s="98" t="n"/>
      <c r="S30" s="98" t="n"/>
      <c r="T30" s="97" t="n"/>
      <c r="U30" s="97" t="n"/>
      <c r="V30" s="97" t="n"/>
      <c r="W30" s="112" t="n"/>
      <c r="X30" s="112" t="n"/>
      <c r="Y30" s="112" t="n"/>
      <c r="Z30" s="112" t="n"/>
      <c r="AA30" s="112" t="n"/>
      <c r="AB30" s="112" t="n"/>
      <c r="AC30" s="112" t="n"/>
      <c r="AD30" s="97" t="n"/>
      <c r="AE30" s="97" t="n"/>
      <c r="AF30" s="98" t="n"/>
      <c r="AG30" s="98" t="n"/>
      <c r="AH30" s="97" t="n"/>
      <c r="AI30" s="97" t="n"/>
    </row>
    <row r="31" ht="16" customHeight="1" s="82">
      <c r="A31" s="109" t="inlineStr">
        <is>
          <t>Frontend</t>
        </is>
      </c>
      <c r="B31" s="110" t="inlineStr">
        <is>
          <t>Reporting</t>
        </is>
      </c>
      <c r="C31" s="99" t="inlineStr">
        <is>
          <t>UI: Dashboard tổng quan</t>
        </is>
      </c>
      <c r="D31" s="113" t="inlineStr">
        <is>
          <t>Thưởng</t>
        </is>
      </c>
      <c r="E31" s="98" t="n"/>
      <c r="F31" s="101" t="n"/>
      <c r="G31" s="101" t="n"/>
      <c r="H31" s="101" t="n"/>
      <c r="I31" s="101" t="n"/>
      <c r="J31" s="101" t="n"/>
      <c r="K31" s="98" t="n"/>
      <c r="L31" s="98" t="n"/>
      <c r="M31" s="101" t="n"/>
      <c r="N31" s="101" t="n"/>
      <c r="O31" s="101" t="n"/>
      <c r="P31" s="101" t="n"/>
      <c r="Q31" s="101" t="n"/>
      <c r="R31" s="98" t="n"/>
      <c r="S31" s="98" t="n"/>
      <c r="T31" s="101" t="n"/>
      <c r="U31" s="101" t="n"/>
      <c r="V31" s="101" t="n"/>
      <c r="W31" s="101" t="n"/>
      <c r="X31" s="101" t="n"/>
      <c r="Y31" s="98" t="n"/>
      <c r="Z31" s="98" t="n"/>
      <c r="AA31" s="112" t="n"/>
      <c r="AB31" s="112" t="n"/>
      <c r="AC31" s="112" t="n"/>
      <c r="AD31" s="112" t="n"/>
      <c r="AE31" s="112" t="n"/>
      <c r="AF31" s="98" t="n"/>
      <c r="AG31" s="98" t="n"/>
      <c r="AH31" s="101" t="n"/>
      <c r="AI31" s="101" t="n"/>
    </row>
    <row r="32" ht="16" customHeight="1" s="82">
      <c r="A32" s="109" t="inlineStr">
        <is>
          <t>Frontend</t>
        </is>
      </c>
      <c r="B32" s="110" t="inlineStr">
        <is>
          <t>Audit</t>
        </is>
      </c>
      <c r="C32" s="94" t="inlineStr">
        <is>
          <t>UI: Audit log viewer</t>
        </is>
      </c>
      <c r="D32" s="111" t="inlineStr">
        <is>
          <t>Khải</t>
        </is>
      </c>
      <c r="E32" s="98" t="n"/>
      <c r="F32" s="97" t="n"/>
      <c r="G32" s="97" t="n"/>
      <c r="H32" s="97" t="n"/>
      <c r="I32" s="97" t="n"/>
      <c r="J32" s="97" t="n"/>
      <c r="K32" s="98" t="n"/>
      <c r="L32" s="98" t="n"/>
      <c r="M32" s="97" t="n"/>
      <c r="N32" s="97" t="n"/>
      <c r="O32" s="97" t="n"/>
      <c r="P32" s="97" t="n"/>
      <c r="Q32" s="97" t="n"/>
      <c r="R32" s="98" t="n"/>
      <c r="S32" s="98" t="n"/>
      <c r="T32" s="97" t="n"/>
      <c r="U32" s="97" t="n"/>
      <c r="V32" s="97" t="n"/>
      <c r="W32" s="97" t="n"/>
      <c r="X32" s="97" t="n"/>
      <c r="Y32" s="98" t="n"/>
      <c r="Z32" s="98" t="n"/>
      <c r="AA32" s="97" t="n"/>
      <c r="AB32" s="97" t="n"/>
      <c r="AC32" s="97" t="n"/>
      <c r="AD32" s="112" t="n"/>
      <c r="AE32" s="112" t="n"/>
      <c r="AF32" s="112" t="n"/>
      <c r="AG32" s="112" t="n"/>
      <c r="AH32" s="112" t="n"/>
      <c r="AI32" s="97" t="n"/>
    </row>
    <row r="33" ht="16" customHeight="1" s="82">
      <c r="A33" s="109" t="inlineStr">
        <is>
          <t>Frontend</t>
        </is>
      </c>
      <c r="B33" s="110" t="inlineStr">
        <is>
          <t>Testing</t>
        </is>
      </c>
      <c r="C33" s="99" t="inlineStr">
        <is>
          <t>UAT &amp; bug fix</t>
        </is>
      </c>
      <c r="D33" s="113" t="inlineStr">
        <is>
          <t>Cả nhóm</t>
        </is>
      </c>
      <c r="E33" s="98" t="n"/>
      <c r="F33" s="101" t="n"/>
      <c r="G33" s="101" t="n"/>
      <c r="H33" s="101" t="n"/>
      <c r="I33" s="101" t="n"/>
      <c r="J33" s="101" t="n"/>
      <c r="K33" s="98" t="n"/>
      <c r="L33" s="98" t="n"/>
      <c r="M33" s="101" t="n"/>
      <c r="N33" s="101" t="n"/>
      <c r="O33" s="101" t="n"/>
      <c r="P33" s="101" t="n"/>
      <c r="Q33" s="101" t="n"/>
      <c r="R33" s="98" t="n"/>
      <c r="S33" s="98" t="n"/>
      <c r="T33" s="101" t="n"/>
      <c r="U33" s="101" t="n"/>
      <c r="V33" s="101" t="n"/>
      <c r="W33" s="101" t="n"/>
      <c r="X33" s="101" t="n"/>
      <c r="Y33" s="98" t="n"/>
      <c r="Z33" s="98" t="n"/>
      <c r="AA33" s="101" t="n"/>
      <c r="AB33" s="101" t="n"/>
      <c r="AC33" s="101" t="n"/>
      <c r="AD33" s="101" t="n"/>
      <c r="AE33" s="101" t="n"/>
      <c r="AF33" s="112" t="n"/>
      <c r="AG33" s="112" t="n"/>
      <c r="AH33" s="112" t="n"/>
      <c r="AI33" s="112" t="n"/>
    </row>
  </sheetData>
  <mergeCells count="8">
    <mergeCell ref="A1:AI1"/>
    <mergeCell ref="L2:R2"/>
    <mergeCell ref="S2:Y2"/>
    <mergeCell ref="A4:AI4"/>
    <mergeCell ref="E2:K2"/>
    <mergeCell ref="Z2:AI2"/>
    <mergeCell ref="A15:AI15"/>
    <mergeCell ref="A25:AI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style="82" min="1" max="1"/>
    <col width="9" customWidth="1" style="82" min="2" max="2"/>
    <col width="11" customWidth="1" style="82" min="3" max="3"/>
    <col width="36" customWidth="1" style="82" min="4" max="4"/>
    <col width="12" customWidth="1" style="82" min="5" max="5"/>
    <col width="12" customWidth="1" style="82" min="6" max="6"/>
    <col width="9" customWidth="1" style="82" min="7" max="7"/>
  </cols>
  <sheetData>
    <row r="1" ht="24" customHeight="1" s="82">
      <c r="A1" s="114" t="inlineStr">
        <is>
          <t>TASK LIST — CORE MODULE | 16/03 → 15/04/2025</t>
        </is>
      </c>
    </row>
    <row r="2">
      <c r="A2" s="115" t="inlineStr">
        <is>
          <t>Role</t>
        </is>
      </c>
      <c r="B2" s="115" t="inlineStr">
        <is>
          <t>Người</t>
        </is>
      </c>
      <c r="C2" s="115" t="inlineStr">
        <is>
          <t>Nhóm</t>
        </is>
      </c>
      <c r="D2" s="115" t="inlineStr">
        <is>
          <t>Task / Deliverable</t>
        </is>
      </c>
      <c r="E2" s="115" t="inlineStr">
        <is>
          <t>Bắt đầu</t>
        </is>
      </c>
      <c r="F2" s="115" t="inlineStr">
        <is>
          <t>Kết thúc</t>
        </is>
      </c>
      <c r="G2" s="115" t="inlineStr">
        <is>
          <t>Số ngày</t>
        </is>
      </c>
    </row>
    <row r="3">
      <c r="A3" s="116" t="inlineStr">
        <is>
          <t>BA+Design</t>
        </is>
      </c>
      <c r="B3" s="95" t="inlineStr">
        <is>
          <t>Tài</t>
        </is>
      </c>
      <c r="C3" s="117" t="inlineStr">
        <is>
          <t>Auth</t>
        </is>
      </c>
      <c r="D3" s="94" t="inlineStr">
        <is>
          <t>Spec: Login / RBAC flow</t>
        </is>
      </c>
      <c r="E3" s="118" t="n">
        <v>45732</v>
      </c>
      <c r="F3" s="118" t="n">
        <v>45735</v>
      </c>
      <c r="G3" s="119">
        <f>NETWORKDAYS(E3,F3)</f>
        <v/>
      </c>
    </row>
    <row r="4">
      <c r="A4" s="116" t="inlineStr">
        <is>
          <t>BA+Design</t>
        </is>
      </c>
      <c r="B4" s="120" t="inlineStr">
        <is>
          <t>Tài</t>
        </is>
      </c>
      <c r="C4" s="121" t="inlineStr">
        <is>
          <t>Auth</t>
        </is>
      </c>
      <c r="D4" s="122" t="inlineStr">
        <is>
          <t>Wireframe: Login, phân quyền UI</t>
        </is>
      </c>
      <c r="E4" s="123" t="n">
        <v>45734</v>
      </c>
      <c r="F4" s="123" t="n">
        <v>45738</v>
      </c>
      <c r="G4" s="124">
        <f>NETWORKDAYS(E4,F4)</f>
        <v/>
      </c>
    </row>
    <row r="5">
      <c r="A5" s="116" t="inlineStr">
        <is>
          <t>BA+Design</t>
        </is>
      </c>
      <c r="B5" s="95" t="inlineStr">
        <is>
          <t>Tài</t>
        </is>
      </c>
      <c r="C5" s="117" t="inlineStr">
        <is>
          <t>User Mgmt</t>
        </is>
      </c>
      <c r="D5" s="94" t="inlineStr">
        <is>
          <t>Spec: Tài khoản &amp; Liên kết định danh</t>
        </is>
      </c>
      <c r="E5" s="118" t="n">
        <v>45736</v>
      </c>
      <c r="F5" s="118" t="n">
        <v>45741</v>
      </c>
      <c r="G5" s="119">
        <f>NETWORKDAYS(E5,F5)</f>
        <v/>
      </c>
    </row>
    <row r="6">
      <c r="A6" s="116" t="inlineStr">
        <is>
          <t>BA+Design</t>
        </is>
      </c>
      <c r="B6" s="120" t="inlineStr">
        <is>
          <t>Tài</t>
        </is>
      </c>
      <c r="C6" s="121" t="inlineStr">
        <is>
          <t>User Mgmt</t>
        </is>
      </c>
      <c r="D6" s="122" t="inlineStr">
        <is>
          <t>Wireframe: Màn hình user management</t>
        </is>
      </c>
      <c r="E6" s="123" t="n">
        <v>45740</v>
      </c>
      <c r="F6" s="123" t="n">
        <v>45744</v>
      </c>
      <c r="G6" s="124">
        <f>NETWORKDAYS(E6,F6)</f>
        <v/>
      </c>
    </row>
    <row r="7">
      <c r="A7" s="116" t="inlineStr">
        <is>
          <t>BA+Design</t>
        </is>
      </c>
      <c r="B7" s="95" t="inlineStr">
        <is>
          <t>Tài</t>
        </is>
      </c>
      <c r="C7" s="117" t="inlineStr">
        <is>
          <t>Config</t>
        </is>
      </c>
      <c r="D7" s="94" t="inlineStr">
        <is>
          <t>Spec: Cấu hình &amp; Danh mục hệ thống</t>
        </is>
      </c>
      <c r="E7" s="118" t="n">
        <v>45742</v>
      </c>
      <c r="F7" s="118" t="n">
        <v>45746</v>
      </c>
      <c r="G7" s="119">
        <f>NETWORKDAYS(E7,F7)</f>
        <v/>
      </c>
    </row>
    <row r="8">
      <c r="A8" s="116" t="inlineStr">
        <is>
          <t>BA+Design</t>
        </is>
      </c>
      <c r="B8" s="120" t="inlineStr">
        <is>
          <t>Khải</t>
        </is>
      </c>
      <c r="C8" s="121" t="inlineStr">
        <is>
          <t>Notify</t>
        </is>
      </c>
      <c r="D8" s="122" t="inlineStr">
        <is>
          <t>Spec: Notification engine</t>
        </is>
      </c>
      <c r="E8" s="123" t="n">
        <v>45744</v>
      </c>
      <c r="F8" s="123" t="n">
        <v>45749</v>
      </c>
      <c r="G8" s="124">
        <f>NETWORKDAYS(E8,F8)</f>
        <v/>
      </c>
    </row>
    <row r="9">
      <c r="A9" s="116" t="inlineStr">
        <is>
          <t>BA+Design</t>
        </is>
      </c>
      <c r="B9" s="95" t="inlineStr">
        <is>
          <t>Khải</t>
        </is>
      </c>
      <c r="C9" s="117" t="inlineStr">
        <is>
          <t>Notify</t>
        </is>
      </c>
      <c r="D9" s="94" t="inlineStr">
        <is>
          <t>Wireframe: Màn hình thông báo</t>
        </is>
      </c>
      <c r="E9" s="118" t="n">
        <v>45748</v>
      </c>
      <c r="F9" s="118" t="n">
        <v>45752</v>
      </c>
      <c r="G9" s="119">
        <f>NETWORKDAYS(E9,F9)</f>
        <v/>
      </c>
    </row>
    <row r="10">
      <c r="A10" s="116" t="inlineStr">
        <is>
          <t>BA+Design</t>
        </is>
      </c>
      <c r="B10" s="120" t="inlineStr">
        <is>
          <t>Thưởng</t>
        </is>
      </c>
      <c r="C10" s="121" t="inlineStr">
        <is>
          <t>Reporting</t>
        </is>
      </c>
      <c r="D10" s="122" t="inlineStr">
        <is>
          <t>Spec: Dashboard &amp; Báo cáo tổng quan</t>
        </is>
      </c>
      <c r="E10" s="123" t="n">
        <v>45750</v>
      </c>
      <c r="F10" s="123" t="n">
        <v>45754</v>
      </c>
      <c r="G10" s="124">
        <f>NETWORKDAYS(E10,F10)</f>
        <v/>
      </c>
    </row>
    <row r="11">
      <c r="A11" s="116" t="inlineStr">
        <is>
          <t>BA+Design</t>
        </is>
      </c>
      <c r="B11" s="95" t="inlineStr">
        <is>
          <t>Khải</t>
        </is>
      </c>
      <c r="C11" s="117" t="inlineStr">
        <is>
          <t>Audit</t>
        </is>
      </c>
      <c r="D11" s="94" t="inlineStr">
        <is>
          <t>Spec: Audit log</t>
        </is>
      </c>
      <c r="E11" s="118" t="n">
        <v>45752</v>
      </c>
      <c r="F11" s="118" t="n">
        <v>45756</v>
      </c>
      <c r="G11" s="119">
        <f>NETWORKDAYS(E11,F11)</f>
        <v/>
      </c>
    </row>
    <row r="12">
      <c r="A12" s="116" t="inlineStr">
        <is>
          <t>BA+Design</t>
        </is>
      </c>
      <c r="B12" s="120" t="inlineStr">
        <is>
          <t>Cả nhóm</t>
        </is>
      </c>
      <c r="C12" s="121" t="inlineStr">
        <is>
          <t>Review</t>
        </is>
      </c>
      <c r="D12" s="122" t="inlineStr">
        <is>
          <t>Design review &amp; handoff tổng thể</t>
        </is>
      </c>
      <c r="E12" s="123" t="n">
        <v>45757</v>
      </c>
      <c r="F12" s="123" t="n">
        <v>45762</v>
      </c>
      <c r="G12" s="124">
        <f>NETWORKDAYS(E12,F12)</f>
        <v/>
      </c>
    </row>
    <row r="13">
      <c r="A13" s="115" t="inlineStr">
        <is>
          <t>Backend</t>
        </is>
      </c>
      <c r="B13" s="105" t="inlineStr">
        <is>
          <t>Thưởng</t>
        </is>
      </c>
      <c r="C13" s="117" t="inlineStr">
        <is>
          <t>Auth</t>
        </is>
      </c>
      <c r="D13" s="94" t="inlineStr">
        <is>
          <t>API: Auth (JWT, refresh token)</t>
        </is>
      </c>
      <c r="E13" s="118" t="n">
        <v>45732</v>
      </c>
      <c r="F13" s="118" t="n">
        <v>45738</v>
      </c>
      <c r="G13" s="119">
        <f>NETWORKDAYS(E13,F13)</f>
        <v/>
      </c>
    </row>
    <row r="14">
      <c r="A14" s="115" t="inlineStr">
        <is>
          <t>Backend</t>
        </is>
      </c>
      <c r="B14" s="125" t="inlineStr">
        <is>
          <t>Thưởng</t>
        </is>
      </c>
      <c r="C14" s="121" t="inlineStr">
        <is>
          <t>Auth</t>
        </is>
      </c>
      <c r="D14" s="122" t="inlineStr">
        <is>
          <t>API: RBAC middleware &amp; roles</t>
        </is>
      </c>
      <c r="E14" s="123" t="n">
        <v>45736</v>
      </c>
      <c r="F14" s="123" t="n">
        <v>45742</v>
      </c>
      <c r="G14" s="124">
        <f>NETWORKDAYS(E14,F14)</f>
        <v/>
      </c>
    </row>
    <row r="15">
      <c r="A15" s="115" t="inlineStr">
        <is>
          <t>Backend</t>
        </is>
      </c>
      <c r="B15" s="105" t="inlineStr">
        <is>
          <t>Khải</t>
        </is>
      </c>
      <c r="C15" s="117" t="inlineStr">
        <is>
          <t>User Mgmt</t>
        </is>
      </c>
      <c r="D15" s="94" t="inlineStr">
        <is>
          <t>API: CRUD tài khoản</t>
        </is>
      </c>
      <c r="E15" s="118" t="n">
        <v>45740</v>
      </c>
      <c r="F15" s="118" t="n">
        <v>45745</v>
      </c>
      <c r="G15" s="119">
        <f>NETWORKDAYS(E15,F15)</f>
        <v/>
      </c>
    </row>
    <row r="16">
      <c r="A16" s="115" t="inlineStr">
        <is>
          <t>Backend</t>
        </is>
      </c>
      <c r="B16" s="125" t="inlineStr">
        <is>
          <t>Thưởng</t>
        </is>
      </c>
      <c r="C16" s="121" t="inlineStr">
        <is>
          <t>User Mgmt</t>
        </is>
      </c>
      <c r="D16" s="122" t="inlineStr">
        <is>
          <t>API: Liên kết tài khoản ↔ cư dân</t>
        </is>
      </c>
      <c r="E16" s="123" t="n">
        <v>45744</v>
      </c>
      <c r="F16" s="123" t="n">
        <v>45749</v>
      </c>
      <c r="G16" s="124">
        <f>NETWORKDAYS(E16,F16)</f>
        <v/>
      </c>
    </row>
    <row r="17">
      <c r="A17" s="115" t="inlineStr">
        <is>
          <t>Backend</t>
        </is>
      </c>
      <c r="B17" s="105" t="inlineStr">
        <is>
          <t>Thưởng</t>
        </is>
      </c>
      <c r="C17" s="117" t="inlineStr">
        <is>
          <t>Config</t>
        </is>
      </c>
      <c r="D17" s="94" t="inlineStr">
        <is>
          <t>API: Cấu hình &amp; Danh mục</t>
        </is>
      </c>
      <c r="E17" s="118" t="n">
        <v>45742</v>
      </c>
      <c r="F17" s="118" t="n">
        <v>45747</v>
      </c>
      <c r="G17" s="119">
        <f>NETWORKDAYS(E17,F17)</f>
        <v/>
      </c>
    </row>
    <row r="18">
      <c r="A18" s="115" t="inlineStr">
        <is>
          <t>Backend</t>
        </is>
      </c>
      <c r="B18" s="125" t="inlineStr">
        <is>
          <t>Khải</t>
        </is>
      </c>
      <c r="C18" s="121" t="inlineStr">
        <is>
          <t>Notify</t>
        </is>
      </c>
      <c r="D18" s="122" t="inlineStr">
        <is>
          <t>Service: Notification (push/email)</t>
        </is>
      </c>
      <c r="E18" s="123" t="n">
        <v>45748</v>
      </c>
      <c r="F18" s="123" t="n">
        <v>45754</v>
      </c>
      <c r="G18" s="124">
        <f>NETWORKDAYS(E18,F18)</f>
        <v/>
      </c>
    </row>
    <row r="19">
      <c r="A19" s="115" t="inlineStr">
        <is>
          <t>Backend</t>
        </is>
      </c>
      <c r="B19" s="105" t="inlineStr">
        <is>
          <t>Thưởng</t>
        </is>
      </c>
      <c r="C19" s="117" t="inlineStr">
        <is>
          <t>Reporting</t>
        </is>
      </c>
      <c r="D19" s="94" t="inlineStr">
        <is>
          <t>API: Dashboard &amp; Thống kê tổng hợp</t>
        </is>
      </c>
      <c r="E19" s="118" t="n">
        <v>45752</v>
      </c>
      <c r="F19" s="118" t="n">
        <v>45757</v>
      </c>
      <c r="G19" s="119">
        <f>NETWORKDAYS(E19,F19)</f>
        <v/>
      </c>
    </row>
    <row r="20">
      <c r="A20" s="115" t="inlineStr">
        <is>
          <t>Backend</t>
        </is>
      </c>
      <c r="B20" s="125" t="inlineStr">
        <is>
          <t>Tài</t>
        </is>
      </c>
      <c r="C20" s="121" t="inlineStr">
        <is>
          <t>Audit</t>
        </is>
      </c>
      <c r="D20" s="122" t="inlineStr">
        <is>
          <t>API: Audit log</t>
        </is>
      </c>
      <c r="E20" s="123" t="n">
        <v>45755</v>
      </c>
      <c r="F20" s="123" t="n">
        <v>45759</v>
      </c>
      <c r="G20" s="124">
        <f>NETWORKDAYS(E20,F20)</f>
        <v/>
      </c>
    </row>
    <row r="21">
      <c r="A21" s="115" t="inlineStr">
        <is>
          <t>Backend</t>
        </is>
      </c>
      <c r="B21" s="105" t="inlineStr">
        <is>
          <t>Cả nhóm</t>
        </is>
      </c>
      <c r="C21" s="117" t="inlineStr">
        <is>
          <t>Testing</t>
        </is>
      </c>
      <c r="D21" s="94" t="inlineStr">
        <is>
          <t>Unit test &amp; integration test</t>
        </is>
      </c>
      <c r="E21" s="118" t="n">
        <v>45757</v>
      </c>
      <c r="F21" s="118" t="n">
        <v>45762</v>
      </c>
      <c r="G21" s="119">
        <f>NETWORKDAYS(E21,F21)</f>
        <v/>
      </c>
    </row>
    <row r="22">
      <c r="A22" s="126" t="inlineStr">
        <is>
          <t>Frontend</t>
        </is>
      </c>
      <c r="B22" s="111" t="inlineStr">
        <is>
          <t>Khải</t>
        </is>
      </c>
      <c r="C22" s="117" t="inlineStr">
        <is>
          <t>Auth</t>
        </is>
      </c>
      <c r="D22" s="94" t="inlineStr">
        <is>
          <t>UI: Màn hình Login</t>
        </is>
      </c>
      <c r="E22" s="118" t="n">
        <v>45735</v>
      </c>
      <c r="F22" s="118" t="n">
        <v>45740</v>
      </c>
      <c r="G22" s="119">
        <f>NETWORKDAYS(E22,F22)</f>
        <v/>
      </c>
    </row>
    <row r="23">
      <c r="A23" s="126" t="inlineStr">
        <is>
          <t>Frontend</t>
        </is>
      </c>
      <c r="B23" s="127" t="inlineStr">
        <is>
          <t>Thưởng</t>
        </is>
      </c>
      <c r="C23" s="121" t="inlineStr">
        <is>
          <t>Auth</t>
        </is>
      </c>
      <c r="D23" s="122" t="inlineStr">
        <is>
          <t>UI: Phân quyền / role guard</t>
        </is>
      </c>
      <c r="E23" s="123" t="n">
        <v>45740</v>
      </c>
      <c r="F23" s="123" t="n">
        <v>45744</v>
      </c>
      <c r="G23" s="124">
        <f>NETWORKDAYS(E23,F23)</f>
        <v/>
      </c>
    </row>
    <row r="24">
      <c r="A24" s="126" t="inlineStr">
        <is>
          <t>Frontend</t>
        </is>
      </c>
      <c r="B24" s="111" t="inlineStr">
        <is>
          <t>Khải</t>
        </is>
      </c>
      <c r="C24" s="117" t="inlineStr">
        <is>
          <t>User Mgmt</t>
        </is>
      </c>
      <c r="D24" s="94" t="inlineStr">
        <is>
          <t>UI: Quản lý tài khoản</t>
        </is>
      </c>
      <c r="E24" s="118" t="n">
        <v>45743</v>
      </c>
      <c r="F24" s="118" t="n">
        <v>45748</v>
      </c>
      <c r="G24" s="119">
        <f>NETWORKDAYS(E24,F24)</f>
        <v/>
      </c>
    </row>
    <row r="25">
      <c r="A25" s="126" t="inlineStr">
        <is>
          <t>Frontend</t>
        </is>
      </c>
      <c r="B25" s="127" t="inlineStr">
        <is>
          <t>Khải</t>
        </is>
      </c>
      <c r="C25" s="121" t="inlineStr">
        <is>
          <t>Config</t>
        </is>
      </c>
      <c r="D25" s="122" t="inlineStr">
        <is>
          <t>UI: Cấu hình hệ thống &amp; Danh mục</t>
        </is>
      </c>
      <c r="E25" s="123" t="n">
        <v>45746</v>
      </c>
      <c r="F25" s="123" t="n">
        <v>45751</v>
      </c>
      <c r="G25" s="124">
        <f>NETWORKDAYS(E25,F25)</f>
        <v/>
      </c>
    </row>
    <row r="26">
      <c r="A26" s="126" t="inlineStr">
        <is>
          <t>Frontend</t>
        </is>
      </c>
      <c r="B26" s="111" t="inlineStr">
        <is>
          <t>Khải</t>
        </is>
      </c>
      <c r="C26" s="117" t="inlineStr">
        <is>
          <t>Notify</t>
        </is>
      </c>
      <c r="D26" s="94" t="inlineStr">
        <is>
          <t>UI: Notification center</t>
        </is>
      </c>
      <c r="E26" s="118" t="n">
        <v>45750</v>
      </c>
      <c r="F26" s="118" t="n">
        <v>45756</v>
      </c>
      <c r="G26" s="119">
        <f>NETWORKDAYS(E26,F26)</f>
        <v/>
      </c>
    </row>
    <row r="27">
      <c r="A27" s="126" t="inlineStr">
        <is>
          <t>Frontend</t>
        </is>
      </c>
      <c r="B27" s="127" t="inlineStr">
        <is>
          <t>Thưởng</t>
        </is>
      </c>
      <c r="C27" s="121" t="inlineStr">
        <is>
          <t>Reporting</t>
        </is>
      </c>
      <c r="D27" s="122" t="inlineStr">
        <is>
          <t>UI: Dashboard tổng quan</t>
        </is>
      </c>
      <c r="E27" s="123" t="n">
        <v>45754</v>
      </c>
      <c r="F27" s="123" t="n">
        <v>45758</v>
      </c>
      <c r="G27" s="124">
        <f>NETWORKDAYS(E27,F27)</f>
        <v/>
      </c>
    </row>
    <row r="28">
      <c r="A28" s="126" t="inlineStr">
        <is>
          <t>Frontend</t>
        </is>
      </c>
      <c r="B28" s="111" t="inlineStr">
        <is>
          <t>Khải</t>
        </is>
      </c>
      <c r="C28" s="117" t="inlineStr">
        <is>
          <t>Audit</t>
        </is>
      </c>
      <c r="D28" s="94" t="inlineStr">
        <is>
          <t>UI: Audit log viewer</t>
        </is>
      </c>
      <c r="E28" s="118" t="n">
        <v>45757</v>
      </c>
      <c r="F28" s="118" t="n">
        <v>45761</v>
      </c>
      <c r="G28" s="119">
        <f>NETWORKDAYS(E28,F28)</f>
        <v/>
      </c>
    </row>
    <row r="29">
      <c r="A29" s="126" t="inlineStr">
        <is>
          <t>Frontend</t>
        </is>
      </c>
      <c r="B29" s="127" t="inlineStr">
        <is>
          <t>Cả nhóm</t>
        </is>
      </c>
      <c r="C29" s="121" t="inlineStr">
        <is>
          <t>Testing</t>
        </is>
      </c>
      <c r="D29" s="122" t="inlineStr">
        <is>
          <t>UAT &amp; bug fix</t>
        </is>
      </c>
      <c r="E29" s="123" t="n">
        <v>45759</v>
      </c>
      <c r="F29" s="123" t="n">
        <v>45762</v>
      </c>
      <c r="G29" s="124">
        <f>NETWORKDAYS(E29,F29)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G18"/>
  <sheetViews>
    <sheetView workbookViewId="0">
      <selection activeCell="A1" sqref="A1"/>
    </sheetView>
  </sheetViews>
  <sheetFormatPr baseColWidth="8" defaultColWidth="12.63" defaultRowHeight="15.75" customHeight="1"/>
  <cols>
    <col width="27.88" customWidth="1" style="82" min="2" max="2"/>
    <col width="31.25" customWidth="1" style="82" min="3" max="3"/>
    <col width="52.88" customWidth="1" style="82" min="4" max="4"/>
  </cols>
  <sheetData>
    <row r="1">
      <c r="A1" s="128" t="inlineStr">
        <is>
          <t>PHASE 2 – PHÂN TÍCH &amp; THIẾT KẾ MODULE (15/04/2025 – 15/05/2025)</t>
        </is>
      </c>
      <c r="B1" s="129" t="n"/>
      <c r="C1" s="129" t="n"/>
      <c r="D1" s="129" t="n"/>
      <c r="E1" s="129" t="n"/>
      <c r="F1" s="129" t="n"/>
      <c r="G1" s="130" t="n"/>
    </row>
    <row r="2">
      <c r="A2" s="131" t="inlineStr">
        <is>
          <t>Mỗi người phụ trách 1 module, chạy song song: Khảo sát → Use case → Luồng → ERD → BA Spec</t>
        </is>
      </c>
      <c r="B2" s="129" t="n"/>
      <c r="C2" s="129" t="n"/>
      <c r="D2" s="129" t="n"/>
      <c r="E2" s="129" t="n"/>
      <c r="F2" s="129" t="n"/>
      <c r="G2" s="130" t="n"/>
    </row>
    <row r="3">
      <c r="A3" s="132" t="inlineStr">
        <is>
          <t>Người</t>
        </is>
      </c>
      <c r="B3" s="132" t="inlineStr">
        <is>
          <t>Module</t>
        </is>
      </c>
      <c r="C3" s="132" t="inlineStr">
        <is>
          <t>Deliverable</t>
        </is>
      </c>
      <c r="D3" s="132" t="inlineStr">
        <is>
          <t>Mô tả</t>
        </is>
      </c>
      <c r="E3" s="132" t="inlineStr">
        <is>
          <t>Bắt đầu</t>
        </is>
      </c>
      <c r="F3" s="132" t="inlineStr">
        <is>
          <t>Kết thúc</t>
        </is>
      </c>
      <c r="G3" s="132" t="inlineStr">
        <is>
          <t>Số ngày</t>
        </is>
      </c>
    </row>
    <row r="4">
      <c r="A4" s="15" t="inlineStr">
        <is>
          <t>Thưởng</t>
        </is>
      </c>
      <c r="B4" s="16" t="inlineStr">
        <is>
          <t>Quản lý Tài sản</t>
        </is>
      </c>
      <c r="C4" s="18" t="inlineStr">
        <is>
          <t>Khảo sát &amp; phân tích bài toán</t>
        </is>
      </c>
      <c r="D4" s="19" t="inlineStr">
        <is>
          <t>Thu thập yêu cầu, nghiên cứu nghiệp vụ quản lý tài sản</t>
        </is>
      </c>
      <c r="E4" s="21" t="n">
        <v>45762</v>
      </c>
      <c r="F4" s="21" t="n">
        <v>45768</v>
      </c>
      <c r="G4" s="133">
        <f>F4-E4+1</f>
        <v/>
      </c>
    </row>
    <row r="5">
      <c r="A5" s="25" t="inlineStr">
        <is>
          <t>Thưởng</t>
        </is>
      </c>
      <c r="B5" s="27" t="inlineStr">
        <is>
          <t>Quản lý Tài sản</t>
        </is>
      </c>
      <c r="C5" s="29" t="inlineStr">
        <is>
          <t>Vẽ Use case diagram</t>
        </is>
      </c>
      <c r="D5" s="30" t="inlineStr">
        <is>
          <t>Sơ đồ use case: quản lý, bảo trì, kiểm kê tài sản</t>
        </is>
      </c>
      <c r="E5" s="32" t="n">
        <v>45769</v>
      </c>
      <c r="F5" s="32" t="n">
        <v>45773</v>
      </c>
      <c r="G5" s="134">
        <f>F5-E5+1</f>
        <v/>
      </c>
    </row>
    <row r="6">
      <c r="A6" s="15" t="inlineStr">
        <is>
          <t>Thưởng</t>
        </is>
      </c>
      <c r="B6" s="16" t="inlineStr">
        <is>
          <t>Quản lý Tài sản</t>
        </is>
      </c>
      <c r="C6" s="18" t="inlineStr">
        <is>
          <t>Activity &amp; Flow diagram</t>
        </is>
      </c>
      <c r="D6" s="19" t="inlineStr">
        <is>
          <t>Luồng xử lý chính: vòng đời tài sản, quy trình bảo trì</t>
        </is>
      </c>
      <c r="E6" s="21" t="n">
        <v>45774</v>
      </c>
      <c r="F6" s="21" t="n">
        <v>45778</v>
      </c>
      <c r="G6" s="133">
        <f>F6-E6+1</f>
        <v/>
      </c>
    </row>
    <row r="7">
      <c r="A7" s="25" t="inlineStr">
        <is>
          <t>Thưởng</t>
        </is>
      </c>
      <c r="B7" s="27" t="inlineStr">
        <is>
          <t>Quản lý Tài sản</t>
        </is>
      </c>
      <c r="C7" s="29" t="inlineStr">
        <is>
          <t>ERD &amp; Database schema</t>
        </is>
      </c>
      <c r="D7" s="30" t="inlineStr">
        <is>
          <t>Thiết kế ERD, mapping entity &amp; relation cho module tài sản</t>
        </is>
      </c>
      <c r="E7" s="32" t="n">
        <v>45779</v>
      </c>
      <c r="F7" s="32" t="n">
        <v>45785</v>
      </c>
      <c r="G7" s="134">
        <f>F7-E7+1</f>
        <v/>
      </c>
    </row>
    <row r="8">
      <c r="A8" s="15" t="inlineStr">
        <is>
          <t>Thưởng</t>
        </is>
      </c>
      <c r="B8" s="16" t="inlineStr">
        <is>
          <t>Quản lý Tài sản</t>
        </is>
      </c>
      <c r="C8" s="18" t="inlineStr">
        <is>
          <t>BA Spec &amp; Tài liệu phân tích</t>
        </is>
      </c>
      <c r="D8" s="19" t="inlineStr">
        <is>
          <t>Hoàn thiện đặc tả yêu cầu, review với nhóm</t>
        </is>
      </c>
      <c r="E8" s="21" t="n">
        <v>45786</v>
      </c>
      <c r="F8" s="21" t="n">
        <v>45792</v>
      </c>
      <c r="G8" s="133">
        <f>F8-E8+1</f>
        <v/>
      </c>
    </row>
    <row r="9">
      <c r="A9" s="25" t="inlineStr">
        <is>
          <t>Khải</t>
        </is>
      </c>
      <c r="B9" s="27" t="inlineStr">
        <is>
          <t>Quản lý Dịch vụ</t>
        </is>
      </c>
      <c r="C9" s="29" t="inlineStr">
        <is>
          <t>Khảo sát &amp; phân tích bài toán</t>
        </is>
      </c>
      <c r="D9" s="30" t="inlineStr">
        <is>
          <t>Thu thập yêu cầu, nghiên cứu nghiệp vụ quản lý dịch vụ</t>
        </is>
      </c>
      <c r="E9" s="32" t="n">
        <v>45762</v>
      </c>
      <c r="F9" s="32" t="n">
        <v>45768</v>
      </c>
      <c r="G9" s="134">
        <f>F9-E9+1</f>
        <v/>
      </c>
    </row>
    <row r="10">
      <c r="A10" s="15" t="inlineStr">
        <is>
          <t>Khải</t>
        </is>
      </c>
      <c r="B10" s="16" t="inlineStr">
        <is>
          <t>Quản lý Dịch vụ</t>
        </is>
      </c>
      <c r="C10" s="18" t="inlineStr">
        <is>
          <t>Vẽ Use case diagram</t>
        </is>
      </c>
      <c r="D10" s="19" t="inlineStr">
        <is>
          <t>Sơ đồ use case: đăng ký dịch vụ, xử lý yêu cầu, thanh toán</t>
        </is>
      </c>
      <c r="E10" s="21" t="n">
        <v>45769</v>
      </c>
      <c r="F10" s="21" t="n">
        <v>45773</v>
      </c>
      <c r="G10" s="133">
        <f>F10-E10+1</f>
        <v/>
      </c>
    </row>
    <row r="11">
      <c r="A11" s="25" t="inlineStr">
        <is>
          <t>Khải</t>
        </is>
      </c>
      <c r="B11" s="27" t="inlineStr">
        <is>
          <t>Quản lý Dịch vụ</t>
        </is>
      </c>
      <c r="C11" s="29" t="inlineStr">
        <is>
          <t>Activity &amp; Flow diagram</t>
        </is>
      </c>
      <c r="D11" s="30" t="inlineStr">
        <is>
          <t>Luồng: đăng ký dịch vụ → xử lý → phản hồi cư dân</t>
        </is>
      </c>
      <c r="E11" s="32" t="n">
        <v>45774</v>
      </c>
      <c r="F11" s="32" t="n">
        <v>45778</v>
      </c>
      <c r="G11" s="134">
        <f>F11-E11+1</f>
        <v/>
      </c>
    </row>
    <row r="12">
      <c r="A12" s="15" t="inlineStr">
        <is>
          <t>Khải</t>
        </is>
      </c>
      <c r="B12" s="16" t="inlineStr">
        <is>
          <t>Quản lý Dịch vụ</t>
        </is>
      </c>
      <c r="C12" s="18" t="inlineStr">
        <is>
          <t>ERD &amp; Database schema</t>
        </is>
      </c>
      <c r="D12" s="19" t="inlineStr">
        <is>
          <t>Thiết kế ERD, mapping entity &amp; relation cho module dịch vụ</t>
        </is>
      </c>
      <c r="E12" s="21" t="n">
        <v>45779</v>
      </c>
      <c r="F12" s="21" t="n">
        <v>45785</v>
      </c>
      <c r="G12" s="133">
        <f>F12-E12+1</f>
        <v/>
      </c>
    </row>
    <row r="13">
      <c r="A13" s="25" t="inlineStr">
        <is>
          <t>Khải</t>
        </is>
      </c>
      <c r="B13" s="27" t="inlineStr">
        <is>
          <t>Quản lý Dịch vụ</t>
        </is>
      </c>
      <c r="C13" s="29" t="inlineStr">
        <is>
          <t>BA Spec &amp; Tài liệu phân tích</t>
        </is>
      </c>
      <c r="D13" s="30" t="inlineStr">
        <is>
          <t>Hoàn thiện đặc tả, wireframe cơ bản, review với nhóm</t>
        </is>
      </c>
      <c r="E13" s="32" t="n">
        <v>45786</v>
      </c>
      <c r="F13" s="32" t="n">
        <v>45792</v>
      </c>
      <c r="G13" s="134">
        <f>F13-E13+1</f>
        <v/>
      </c>
    </row>
    <row r="14">
      <c r="A14" s="15" t="inlineStr">
        <is>
          <t>Tài</t>
        </is>
      </c>
      <c r="B14" s="16" t="inlineStr">
        <is>
          <t>Quản lý Dân cư</t>
        </is>
      </c>
      <c r="C14" s="18" t="inlineStr">
        <is>
          <t>Khảo sát &amp; phân tích bài toán</t>
        </is>
      </c>
      <c r="D14" s="19" t="inlineStr">
        <is>
          <t>Thu thập yêu cầu, nghiên cứu nghiệp vụ quản lý dân cư</t>
        </is>
      </c>
      <c r="E14" s="21" t="n">
        <v>45762</v>
      </c>
      <c r="F14" s="21" t="n">
        <v>45768</v>
      </c>
      <c r="G14" s="133">
        <f>F14-E14+1</f>
        <v/>
      </c>
    </row>
    <row r="15">
      <c r="A15" s="25" t="inlineStr">
        <is>
          <t>Tài</t>
        </is>
      </c>
      <c r="B15" s="27" t="inlineStr">
        <is>
          <t>Quản lý Dân cư</t>
        </is>
      </c>
      <c r="C15" s="29" t="inlineStr">
        <is>
          <t>Vẽ Use case diagram</t>
        </is>
      </c>
      <c r="D15" s="30" t="inlineStr">
        <is>
          <t>Sơ đồ use case: hộ khẩu, tạm trú, phương tiện, kiểm soát</t>
        </is>
      </c>
      <c r="E15" s="32" t="n">
        <v>45769</v>
      </c>
      <c r="F15" s="32" t="n">
        <v>45773</v>
      </c>
      <c r="G15" s="134">
        <f>F15-E15+1</f>
        <v/>
      </c>
    </row>
    <row r="16">
      <c r="A16" s="15" t="inlineStr">
        <is>
          <t>Tài</t>
        </is>
      </c>
      <c r="B16" s="16" t="inlineStr">
        <is>
          <t>Quản lý Dân cư</t>
        </is>
      </c>
      <c r="C16" s="18" t="inlineStr">
        <is>
          <t>Activity &amp; Flow diagram</t>
        </is>
      </c>
      <c r="D16" s="19" t="inlineStr">
        <is>
          <t>Luồng: đăng ký cư dân → kiểm soát → sự cố → xử lý</t>
        </is>
      </c>
      <c r="E16" s="21" t="n">
        <v>45774</v>
      </c>
      <c r="F16" s="21" t="n">
        <v>45778</v>
      </c>
      <c r="G16" s="133">
        <f>F16-E16+1</f>
        <v/>
      </c>
    </row>
    <row r="17">
      <c r="A17" s="25" t="inlineStr">
        <is>
          <t>Tài</t>
        </is>
      </c>
      <c r="B17" s="27" t="inlineStr">
        <is>
          <t>Quản lý Dân cư</t>
        </is>
      </c>
      <c r="C17" s="29" t="inlineStr">
        <is>
          <t>ERD &amp; Database schema</t>
        </is>
      </c>
      <c r="D17" s="30" t="inlineStr">
        <is>
          <t>Thiết kế ERD, mapping entity &amp; relation cho module dân cư</t>
        </is>
      </c>
      <c r="E17" s="32" t="n">
        <v>45779</v>
      </c>
      <c r="F17" s="32" t="n">
        <v>45785</v>
      </c>
      <c r="G17" s="134">
        <f>F17-E17+1</f>
        <v/>
      </c>
    </row>
    <row r="18">
      <c r="A18" s="15" t="inlineStr">
        <is>
          <t>Tài</t>
        </is>
      </c>
      <c r="B18" s="16" t="inlineStr">
        <is>
          <t>Quản lý Dân cư</t>
        </is>
      </c>
      <c r="C18" s="18" t="inlineStr">
        <is>
          <t>BA Spec &amp; Tài liệu phân tích</t>
        </is>
      </c>
      <c r="D18" s="19" t="inlineStr">
        <is>
          <t>Hoàn thiện đặc tả yêu cầu, review với nhóm</t>
        </is>
      </c>
      <c r="E18" s="21" t="n">
        <v>45786</v>
      </c>
      <c r="F18" s="21" t="n">
        <v>45792</v>
      </c>
      <c r="G18" s="133">
        <f>F18-E18+1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7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style="82" min="1" max="1"/>
    <col width="16" customWidth="1" style="82" min="2" max="2"/>
    <col width="20" customWidth="1" style="82" min="3" max="3"/>
    <col width="3.4" customWidth="1" style="82" min="4" max="4"/>
    <col width="3.4" customWidth="1" style="82" min="5" max="5"/>
    <col width="3.4" customWidth="1" style="82" min="6" max="6"/>
    <col width="3.4" customWidth="1" style="82" min="7" max="7"/>
    <col width="3.4" customWidth="1" style="82" min="8" max="8"/>
    <col width="3.4" customWidth="1" style="82" min="9" max="9"/>
    <col width="3.4" customWidth="1" style="82" min="10" max="10"/>
    <col width="3.4" customWidth="1" style="82" min="11" max="11"/>
    <col width="3.4" customWidth="1" style="82" min="12" max="12"/>
    <col width="3.4" customWidth="1" style="82" min="13" max="13"/>
    <col width="3.4" customWidth="1" style="82" min="14" max="14"/>
    <col width="3.4" customWidth="1" style="82" min="15" max="15"/>
    <col width="3.4" customWidth="1" style="82" min="16" max="16"/>
    <col width="3.4" customWidth="1" style="82" min="17" max="17"/>
    <col width="3.4" customWidth="1" style="82" min="18" max="18"/>
    <col width="3.4" customWidth="1" style="82" min="19" max="19"/>
    <col width="3.4" customWidth="1" style="82" min="20" max="20"/>
    <col width="3.4" customWidth="1" style="82" min="21" max="21"/>
    <col width="3.4" customWidth="1" style="82" min="22" max="22"/>
    <col width="3.4" customWidth="1" style="82" min="23" max="23"/>
    <col width="3.4" customWidth="1" style="82" min="24" max="24"/>
    <col width="3.4" customWidth="1" style="82" min="25" max="25"/>
    <col width="3.4" customWidth="1" style="82" min="26" max="26"/>
    <col width="3.4" customWidth="1" style="82" min="27" max="27"/>
    <col width="3.4" customWidth="1" style="82" min="28" max="28"/>
    <col width="3.4" customWidth="1" style="82" min="29" max="29"/>
    <col width="3.4" customWidth="1" style="82" min="30" max="30"/>
    <col width="3.4" customWidth="1" style="82" min="31" max="31"/>
    <col width="3.4" customWidth="1" style="82" min="32" max="32"/>
    <col width="3.4" customWidth="1" style="82" min="33" max="33"/>
    <col width="3.4" customWidth="1" style="82" min="34" max="34"/>
  </cols>
  <sheetData>
    <row r="1" ht="24" customHeight="1" s="82">
      <c r="A1" s="114" t="inlineStr">
        <is>
          <t>GANTT — PHASE 2 (15/04/2025 – 15/05/2025)</t>
        </is>
      </c>
    </row>
    <row r="2" ht="28" customHeight="1" s="82">
      <c r="A2" s="84" t="inlineStr">
        <is>
          <t>Người</t>
        </is>
      </c>
      <c r="B2" s="84" t="inlineStr">
        <is>
          <t>Module</t>
        </is>
      </c>
      <c r="C2" s="84" t="inlineStr">
        <is>
          <t>Deliverable</t>
        </is>
      </c>
      <c r="D2" s="135" t="inlineStr">
        <is>
          <t>T3
15/4</t>
        </is>
      </c>
      <c r="E2" s="135" t="inlineStr">
        <is>
          <t>T4
16/4</t>
        </is>
      </c>
      <c r="F2" s="135" t="inlineStr">
        <is>
          <t>T5
17/4</t>
        </is>
      </c>
      <c r="G2" s="135" t="inlineStr">
        <is>
          <t>T6
18/4</t>
        </is>
      </c>
      <c r="H2" s="136" t="inlineStr">
        <is>
          <t>T7
19/4</t>
        </is>
      </c>
      <c r="I2" s="136" t="inlineStr">
        <is>
          <t>CN
20/4</t>
        </is>
      </c>
      <c r="J2" s="135" t="inlineStr">
        <is>
          <t>T2
21/4</t>
        </is>
      </c>
      <c r="K2" s="135" t="inlineStr">
        <is>
          <t>T3
22/4</t>
        </is>
      </c>
      <c r="L2" s="135" t="inlineStr">
        <is>
          <t>T4
23/4</t>
        </is>
      </c>
      <c r="M2" s="135" t="inlineStr">
        <is>
          <t>T5
24/4</t>
        </is>
      </c>
      <c r="N2" s="135" t="inlineStr">
        <is>
          <t>T6
25/4</t>
        </is>
      </c>
      <c r="O2" s="136" t="inlineStr">
        <is>
          <t>T7
26/4</t>
        </is>
      </c>
      <c r="P2" s="136" t="inlineStr">
        <is>
          <t>CN
27/4</t>
        </is>
      </c>
      <c r="Q2" s="135" t="inlineStr">
        <is>
          <t>T2
28/4</t>
        </is>
      </c>
      <c r="R2" s="135" t="inlineStr">
        <is>
          <t>T3
29/4</t>
        </is>
      </c>
      <c r="S2" s="135" t="inlineStr">
        <is>
          <t>T4
30/4</t>
        </is>
      </c>
      <c r="T2" s="135" t="inlineStr">
        <is>
          <t>T5
1/5</t>
        </is>
      </c>
      <c r="U2" s="135" t="inlineStr">
        <is>
          <t>T6
2/5</t>
        </is>
      </c>
      <c r="V2" s="136" t="inlineStr">
        <is>
          <t>T7
3/5</t>
        </is>
      </c>
      <c r="W2" s="136" t="inlineStr">
        <is>
          <t>CN
4/5</t>
        </is>
      </c>
      <c r="X2" s="135" t="inlineStr">
        <is>
          <t>T2
5/5</t>
        </is>
      </c>
      <c r="Y2" s="135" t="inlineStr">
        <is>
          <t>T3
6/5</t>
        </is>
      </c>
      <c r="Z2" s="135" t="inlineStr">
        <is>
          <t>T4
7/5</t>
        </is>
      </c>
      <c r="AA2" s="135" t="inlineStr">
        <is>
          <t>T5
8/5</t>
        </is>
      </c>
      <c r="AB2" s="135" t="inlineStr">
        <is>
          <t>T6
9/5</t>
        </is>
      </c>
      <c r="AC2" s="136" t="inlineStr">
        <is>
          <t>T7
10/5</t>
        </is>
      </c>
      <c r="AD2" s="136" t="inlineStr">
        <is>
          <t>CN
11/5</t>
        </is>
      </c>
      <c r="AE2" s="135" t="inlineStr">
        <is>
          <t>T2
12/5</t>
        </is>
      </c>
      <c r="AF2" s="135" t="inlineStr">
        <is>
          <t>T3
13/5</t>
        </is>
      </c>
      <c r="AG2" s="135" t="inlineStr">
        <is>
          <t>T4
14/5</t>
        </is>
      </c>
      <c r="AH2" s="135" t="inlineStr">
        <is>
          <t>T5
15/5</t>
        </is>
      </c>
    </row>
    <row r="3" ht="16" customHeight="1" s="82">
      <c r="A3" s="137" t="inlineStr">
        <is>
          <t>Thưởng</t>
        </is>
      </c>
      <c r="B3" s="138" t="inlineStr">
        <is>
          <t>Quản lý Tài sản</t>
        </is>
      </c>
      <c r="C3" s="139" t="inlineStr">
        <is>
          <t>Khảo sát &amp; phân tích</t>
        </is>
      </c>
      <c r="D3" s="106" t="n"/>
      <c r="E3" s="106" t="n"/>
      <c r="F3" s="106" t="n"/>
      <c r="G3" s="106" t="n"/>
      <c r="H3" s="106" t="n"/>
      <c r="I3" s="106" t="n"/>
      <c r="J3" s="106" t="n"/>
      <c r="K3" s="97" t="n"/>
      <c r="L3" s="97" t="n"/>
      <c r="M3" s="97" t="n"/>
      <c r="N3" s="97" t="n"/>
      <c r="O3" s="98" t="n"/>
      <c r="P3" s="98" t="n"/>
      <c r="Q3" s="97" t="n"/>
      <c r="R3" s="97" t="n"/>
      <c r="S3" s="97" t="n"/>
      <c r="T3" s="97" t="n"/>
      <c r="U3" s="97" t="n"/>
      <c r="V3" s="98" t="n"/>
      <c r="W3" s="98" t="n"/>
      <c r="X3" s="97" t="n"/>
      <c r="Y3" s="97" t="n"/>
      <c r="Z3" s="97" t="n"/>
      <c r="AA3" s="97" t="n"/>
      <c r="AB3" s="97" t="n"/>
      <c r="AC3" s="98" t="n"/>
      <c r="AD3" s="98" t="n"/>
      <c r="AE3" s="97" t="n"/>
      <c r="AF3" s="97" t="n"/>
      <c r="AG3" s="97" t="n"/>
      <c r="AH3" s="97" t="n"/>
    </row>
    <row r="4" ht="16" customHeight="1" s="82">
      <c r="A4" s="137" t="inlineStr">
        <is>
          <t>Thưởng</t>
        </is>
      </c>
      <c r="B4" s="138" t="inlineStr">
        <is>
          <t>Quản lý Tài sản</t>
        </is>
      </c>
      <c r="C4" s="140" t="inlineStr">
        <is>
          <t>Use case diagram</t>
        </is>
      </c>
      <c r="D4" s="101" t="n"/>
      <c r="E4" s="101" t="n"/>
      <c r="F4" s="101" t="n"/>
      <c r="G4" s="101" t="n"/>
      <c r="H4" s="98" t="n"/>
      <c r="I4" s="98" t="n"/>
      <c r="J4" s="101" t="n"/>
      <c r="K4" s="106" t="n"/>
      <c r="L4" s="106" t="n"/>
      <c r="M4" s="106" t="n"/>
      <c r="N4" s="106" t="n"/>
      <c r="O4" s="106" t="n"/>
      <c r="P4" s="98" t="n"/>
      <c r="Q4" s="101" t="n"/>
      <c r="R4" s="101" t="n"/>
      <c r="S4" s="101" t="n"/>
      <c r="T4" s="101" t="n"/>
      <c r="U4" s="101" t="n"/>
      <c r="V4" s="98" t="n"/>
      <c r="W4" s="98" t="n"/>
      <c r="X4" s="101" t="n"/>
      <c r="Y4" s="101" t="n"/>
      <c r="Z4" s="101" t="n"/>
      <c r="AA4" s="101" t="n"/>
      <c r="AB4" s="101" t="n"/>
      <c r="AC4" s="98" t="n"/>
      <c r="AD4" s="98" t="n"/>
      <c r="AE4" s="101" t="n"/>
      <c r="AF4" s="101" t="n"/>
      <c r="AG4" s="101" t="n"/>
      <c r="AH4" s="101" t="n"/>
    </row>
    <row r="5" ht="16" customHeight="1" s="82">
      <c r="A5" s="137" t="inlineStr">
        <is>
          <t>Thưởng</t>
        </is>
      </c>
      <c r="B5" s="138" t="inlineStr">
        <is>
          <t>Quản lý Tài sản</t>
        </is>
      </c>
      <c r="C5" s="139" t="inlineStr">
        <is>
          <t>Activity &amp; Flow diagram</t>
        </is>
      </c>
      <c r="D5" s="97" t="n"/>
      <c r="E5" s="97" t="n"/>
      <c r="F5" s="97" t="n"/>
      <c r="G5" s="97" t="n"/>
      <c r="H5" s="98" t="n"/>
      <c r="I5" s="98" t="n"/>
      <c r="J5" s="97" t="n"/>
      <c r="K5" s="97" t="n"/>
      <c r="L5" s="97" t="n"/>
      <c r="M5" s="97" t="n"/>
      <c r="N5" s="97" t="n"/>
      <c r="O5" s="98" t="n"/>
      <c r="P5" s="106" t="n"/>
      <c r="Q5" s="106" t="n"/>
      <c r="R5" s="106" t="n"/>
      <c r="S5" s="106" t="n"/>
      <c r="T5" s="106" t="n"/>
      <c r="U5" s="97" t="n"/>
      <c r="V5" s="98" t="n"/>
      <c r="W5" s="98" t="n"/>
      <c r="X5" s="97" t="n"/>
      <c r="Y5" s="97" t="n"/>
      <c r="Z5" s="97" t="n"/>
      <c r="AA5" s="97" t="n"/>
      <c r="AB5" s="97" t="n"/>
      <c r="AC5" s="98" t="n"/>
      <c r="AD5" s="98" t="n"/>
      <c r="AE5" s="97" t="n"/>
      <c r="AF5" s="97" t="n"/>
      <c r="AG5" s="97" t="n"/>
      <c r="AH5" s="97" t="n"/>
    </row>
    <row r="6" ht="16" customHeight="1" s="82">
      <c r="A6" s="137" t="inlineStr">
        <is>
          <t>Thưởng</t>
        </is>
      </c>
      <c r="B6" s="138" t="inlineStr">
        <is>
          <t>Quản lý Tài sản</t>
        </is>
      </c>
      <c r="C6" s="140" t="inlineStr">
        <is>
          <t>ERD &amp; DB Schema</t>
        </is>
      </c>
      <c r="D6" s="101" t="n"/>
      <c r="E6" s="101" t="n"/>
      <c r="F6" s="101" t="n"/>
      <c r="G6" s="101" t="n"/>
      <c r="H6" s="98" t="n"/>
      <c r="I6" s="98" t="n"/>
      <c r="J6" s="101" t="n"/>
      <c r="K6" s="101" t="n"/>
      <c r="L6" s="101" t="n"/>
      <c r="M6" s="101" t="n"/>
      <c r="N6" s="101" t="n"/>
      <c r="O6" s="98" t="n"/>
      <c r="P6" s="98" t="n"/>
      <c r="Q6" s="101" t="n"/>
      <c r="R6" s="101" t="n"/>
      <c r="S6" s="101" t="n"/>
      <c r="T6" s="101" t="n"/>
      <c r="U6" s="106" t="n"/>
      <c r="V6" s="106" t="n"/>
      <c r="W6" s="106" t="n"/>
      <c r="X6" s="106" t="n"/>
      <c r="Y6" s="106" t="n"/>
      <c r="Z6" s="106" t="n"/>
      <c r="AA6" s="106" t="n"/>
      <c r="AB6" s="101" t="n"/>
      <c r="AC6" s="98" t="n"/>
      <c r="AD6" s="98" t="n"/>
      <c r="AE6" s="101" t="n"/>
      <c r="AF6" s="101" t="n"/>
      <c r="AG6" s="101" t="n"/>
      <c r="AH6" s="101" t="n"/>
    </row>
    <row r="7" ht="16" customHeight="1" s="82">
      <c r="A7" s="137" t="inlineStr">
        <is>
          <t>Thưởng</t>
        </is>
      </c>
      <c r="B7" s="138" t="inlineStr">
        <is>
          <t>Quản lý Tài sản</t>
        </is>
      </c>
      <c r="C7" s="139" t="inlineStr">
        <is>
          <t>BA Spec &amp; Tài liệu</t>
        </is>
      </c>
      <c r="D7" s="97" t="n"/>
      <c r="E7" s="97" t="n"/>
      <c r="F7" s="97" t="n"/>
      <c r="G7" s="97" t="n"/>
      <c r="H7" s="98" t="n"/>
      <c r="I7" s="98" t="n"/>
      <c r="J7" s="97" t="n"/>
      <c r="K7" s="97" t="n"/>
      <c r="L7" s="97" t="n"/>
      <c r="M7" s="97" t="n"/>
      <c r="N7" s="97" t="n"/>
      <c r="O7" s="98" t="n"/>
      <c r="P7" s="98" t="n"/>
      <c r="Q7" s="97" t="n"/>
      <c r="R7" s="97" t="n"/>
      <c r="S7" s="97" t="n"/>
      <c r="T7" s="97" t="n"/>
      <c r="U7" s="97" t="n"/>
      <c r="V7" s="98" t="n"/>
      <c r="W7" s="98" t="n"/>
      <c r="X7" s="97" t="n"/>
      <c r="Y7" s="97" t="n"/>
      <c r="Z7" s="97" t="n"/>
      <c r="AA7" s="97" t="n"/>
      <c r="AB7" s="106" t="n"/>
      <c r="AC7" s="106" t="n"/>
      <c r="AD7" s="106" t="n"/>
      <c r="AE7" s="106" t="n"/>
      <c r="AF7" s="106" t="n"/>
      <c r="AG7" s="106" t="n"/>
      <c r="AH7" s="106" t="n"/>
    </row>
    <row r="8" ht="16" customHeight="1" s="82">
      <c r="A8" s="141" t="inlineStr">
        <is>
          <t>Khải</t>
        </is>
      </c>
      <c r="B8" s="142" t="inlineStr">
        <is>
          <t>Quản lý Dịch vụ</t>
        </is>
      </c>
      <c r="C8" s="139" t="inlineStr">
        <is>
          <t>Khảo sát &amp; phân tích</t>
        </is>
      </c>
      <c r="D8" s="143" t="n"/>
      <c r="E8" s="143" t="n"/>
      <c r="F8" s="143" t="n"/>
      <c r="G8" s="143" t="n"/>
      <c r="H8" s="143" t="n"/>
      <c r="I8" s="143" t="n"/>
      <c r="J8" s="143" t="n"/>
      <c r="K8" s="97" t="n"/>
      <c r="L8" s="97" t="n"/>
      <c r="M8" s="97" t="n"/>
      <c r="N8" s="97" t="n"/>
      <c r="O8" s="98" t="n"/>
      <c r="P8" s="98" t="n"/>
      <c r="Q8" s="97" t="n"/>
      <c r="R8" s="97" t="n"/>
      <c r="S8" s="97" t="n"/>
      <c r="T8" s="97" t="n"/>
      <c r="U8" s="97" t="n"/>
      <c r="V8" s="98" t="n"/>
      <c r="W8" s="98" t="n"/>
      <c r="X8" s="97" t="n"/>
      <c r="Y8" s="97" t="n"/>
      <c r="Z8" s="97" t="n"/>
      <c r="AA8" s="97" t="n"/>
      <c r="AB8" s="97" t="n"/>
      <c r="AC8" s="98" t="n"/>
      <c r="AD8" s="98" t="n"/>
      <c r="AE8" s="97" t="n"/>
      <c r="AF8" s="97" t="n"/>
      <c r="AG8" s="97" t="n"/>
      <c r="AH8" s="97" t="n"/>
    </row>
    <row r="9" ht="16" customHeight="1" s="82">
      <c r="A9" s="141" t="inlineStr">
        <is>
          <t>Khải</t>
        </is>
      </c>
      <c r="B9" s="142" t="inlineStr">
        <is>
          <t>Quản lý Dịch vụ</t>
        </is>
      </c>
      <c r="C9" s="140" t="inlineStr">
        <is>
          <t>Use case diagram</t>
        </is>
      </c>
      <c r="D9" s="101" t="n"/>
      <c r="E9" s="101" t="n"/>
      <c r="F9" s="101" t="n"/>
      <c r="G9" s="101" t="n"/>
      <c r="H9" s="98" t="n"/>
      <c r="I9" s="98" t="n"/>
      <c r="J9" s="101" t="n"/>
      <c r="K9" s="143" t="n"/>
      <c r="L9" s="143" t="n"/>
      <c r="M9" s="143" t="n"/>
      <c r="N9" s="143" t="n"/>
      <c r="O9" s="143" t="n"/>
      <c r="P9" s="98" t="n"/>
      <c r="Q9" s="101" t="n"/>
      <c r="R9" s="101" t="n"/>
      <c r="S9" s="101" t="n"/>
      <c r="T9" s="101" t="n"/>
      <c r="U9" s="101" t="n"/>
      <c r="V9" s="98" t="n"/>
      <c r="W9" s="98" t="n"/>
      <c r="X9" s="101" t="n"/>
      <c r="Y9" s="101" t="n"/>
      <c r="Z9" s="101" t="n"/>
      <c r="AA9" s="101" t="n"/>
      <c r="AB9" s="101" t="n"/>
      <c r="AC9" s="98" t="n"/>
      <c r="AD9" s="98" t="n"/>
      <c r="AE9" s="101" t="n"/>
      <c r="AF9" s="101" t="n"/>
      <c r="AG9" s="101" t="n"/>
      <c r="AH9" s="101" t="n"/>
    </row>
    <row r="10" ht="16" customHeight="1" s="82">
      <c r="A10" s="141" t="inlineStr">
        <is>
          <t>Khải</t>
        </is>
      </c>
      <c r="B10" s="142" t="inlineStr">
        <is>
          <t>Quản lý Dịch vụ</t>
        </is>
      </c>
      <c r="C10" s="139" t="inlineStr">
        <is>
          <t>Activity &amp; Flow diagram</t>
        </is>
      </c>
      <c r="D10" s="97" t="n"/>
      <c r="E10" s="97" t="n"/>
      <c r="F10" s="97" t="n"/>
      <c r="G10" s="97" t="n"/>
      <c r="H10" s="98" t="n"/>
      <c r="I10" s="98" t="n"/>
      <c r="J10" s="97" t="n"/>
      <c r="K10" s="97" t="n"/>
      <c r="L10" s="97" t="n"/>
      <c r="M10" s="97" t="n"/>
      <c r="N10" s="97" t="n"/>
      <c r="O10" s="98" t="n"/>
      <c r="P10" s="143" t="n"/>
      <c r="Q10" s="143" t="n"/>
      <c r="R10" s="143" t="n"/>
      <c r="S10" s="143" t="n"/>
      <c r="T10" s="143" t="n"/>
      <c r="U10" s="97" t="n"/>
      <c r="V10" s="98" t="n"/>
      <c r="W10" s="98" t="n"/>
      <c r="X10" s="97" t="n"/>
      <c r="Y10" s="97" t="n"/>
      <c r="Z10" s="97" t="n"/>
      <c r="AA10" s="97" t="n"/>
      <c r="AB10" s="97" t="n"/>
      <c r="AC10" s="98" t="n"/>
      <c r="AD10" s="98" t="n"/>
      <c r="AE10" s="97" t="n"/>
      <c r="AF10" s="97" t="n"/>
      <c r="AG10" s="97" t="n"/>
      <c r="AH10" s="97" t="n"/>
    </row>
    <row r="11" ht="16" customHeight="1" s="82">
      <c r="A11" s="141" t="inlineStr">
        <is>
          <t>Khải</t>
        </is>
      </c>
      <c r="B11" s="142" t="inlineStr">
        <is>
          <t>Quản lý Dịch vụ</t>
        </is>
      </c>
      <c r="C11" s="140" t="inlineStr">
        <is>
          <t>ERD &amp; DB Schema</t>
        </is>
      </c>
      <c r="D11" s="101" t="n"/>
      <c r="E11" s="101" t="n"/>
      <c r="F11" s="101" t="n"/>
      <c r="G11" s="101" t="n"/>
      <c r="H11" s="98" t="n"/>
      <c r="I11" s="98" t="n"/>
      <c r="J11" s="101" t="n"/>
      <c r="K11" s="101" t="n"/>
      <c r="L11" s="101" t="n"/>
      <c r="M11" s="101" t="n"/>
      <c r="N11" s="101" t="n"/>
      <c r="O11" s="98" t="n"/>
      <c r="P11" s="98" t="n"/>
      <c r="Q11" s="101" t="n"/>
      <c r="R11" s="101" t="n"/>
      <c r="S11" s="101" t="n"/>
      <c r="T11" s="101" t="n"/>
      <c r="U11" s="143" t="n"/>
      <c r="V11" s="143" t="n"/>
      <c r="W11" s="143" t="n"/>
      <c r="X11" s="143" t="n"/>
      <c r="Y11" s="143" t="n"/>
      <c r="Z11" s="143" t="n"/>
      <c r="AA11" s="143" t="n"/>
      <c r="AB11" s="101" t="n"/>
      <c r="AC11" s="98" t="n"/>
      <c r="AD11" s="98" t="n"/>
      <c r="AE11" s="101" t="n"/>
      <c r="AF11" s="101" t="n"/>
      <c r="AG11" s="101" t="n"/>
      <c r="AH11" s="101" t="n"/>
    </row>
    <row r="12" ht="16" customHeight="1" s="82">
      <c r="A12" s="141" t="inlineStr">
        <is>
          <t>Khải</t>
        </is>
      </c>
      <c r="B12" s="142" t="inlineStr">
        <is>
          <t>Quản lý Dịch vụ</t>
        </is>
      </c>
      <c r="C12" s="139" t="inlineStr">
        <is>
          <t>BA Spec &amp; Tài liệu</t>
        </is>
      </c>
      <c r="D12" s="97" t="n"/>
      <c r="E12" s="97" t="n"/>
      <c r="F12" s="97" t="n"/>
      <c r="G12" s="97" t="n"/>
      <c r="H12" s="98" t="n"/>
      <c r="I12" s="98" t="n"/>
      <c r="J12" s="97" t="n"/>
      <c r="K12" s="97" t="n"/>
      <c r="L12" s="97" t="n"/>
      <c r="M12" s="97" t="n"/>
      <c r="N12" s="97" t="n"/>
      <c r="O12" s="98" t="n"/>
      <c r="P12" s="98" t="n"/>
      <c r="Q12" s="97" t="n"/>
      <c r="R12" s="97" t="n"/>
      <c r="S12" s="97" t="n"/>
      <c r="T12" s="97" t="n"/>
      <c r="U12" s="97" t="n"/>
      <c r="V12" s="98" t="n"/>
      <c r="W12" s="98" t="n"/>
      <c r="X12" s="97" t="n"/>
      <c r="Y12" s="97" t="n"/>
      <c r="Z12" s="97" t="n"/>
      <c r="AA12" s="97" t="n"/>
      <c r="AB12" s="143" t="n"/>
      <c r="AC12" s="143" t="n"/>
      <c r="AD12" s="143" t="n"/>
      <c r="AE12" s="143" t="n"/>
      <c r="AF12" s="143" t="n"/>
      <c r="AG12" s="143" t="n"/>
      <c r="AH12" s="143" t="n"/>
    </row>
    <row r="13" ht="16" customHeight="1" s="82">
      <c r="A13" s="110" t="inlineStr">
        <is>
          <t>Tài</t>
        </is>
      </c>
      <c r="B13" s="144" t="inlineStr">
        <is>
          <t>Quản lý Dân cư</t>
        </is>
      </c>
      <c r="C13" s="139" t="inlineStr">
        <is>
          <t>Khảo sát &amp; phân tích</t>
        </is>
      </c>
      <c r="D13" s="112" t="n"/>
      <c r="E13" s="112" t="n"/>
      <c r="F13" s="112" t="n"/>
      <c r="G13" s="112" t="n"/>
      <c r="H13" s="112" t="n"/>
      <c r="I13" s="112" t="n"/>
      <c r="J13" s="112" t="n"/>
      <c r="K13" s="97" t="n"/>
      <c r="L13" s="97" t="n"/>
      <c r="M13" s="97" t="n"/>
      <c r="N13" s="97" t="n"/>
      <c r="O13" s="98" t="n"/>
      <c r="P13" s="98" t="n"/>
      <c r="Q13" s="97" t="n"/>
      <c r="R13" s="97" t="n"/>
      <c r="S13" s="97" t="n"/>
      <c r="T13" s="97" t="n"/>
      <c r="U13" s="97" t="n"/>
      <c r="V13" s="98" t="n"/>
      <c r="W13" s="98" t="n"/>
      <c r="X13" s="97" t="n"/>
      <c r="Y13" s="97" t="n"/>
      <c r="Z13" s="97" t="n"/>
      <c r="AA13" s="97" t="n"/>
      <c r="AB13" s="97" t="n"/>
      <c r="AC13" s="98" t="n"/>
      <c r="AD13" s="98" t="n"/>
      <c r="AE13" s="97" t="n"/>
      <c r="AF13" s="97" t="n"/>
      <c r="AG13" s="97" t="n"/>
      <c r="AH13" s="97" t="n"/>
    </row>
    <row r="14" ht="16" customHeight="1" s="82">
      <c r="A14" s="110" t="inlineStr">
        <is>
          <t>Tài</t>
        </is>
      </c>
      <c r="B14" s="144" t="inlineStr">
        <is>
          <t>Quản lý Dân cư</t>
        </is>
      </c>
      <c r="C14" s="140" t="inlineStr">
        <is>
          <t>Use case diagram</t>
        </is>
      </c>
      <c r="D14" s="101" t="n"/>
      <c r="E14" s="101" t="n"/>
      <c r="F14" s="101" t="n"/>
      <c r="G14" s="101" t="n"/>
      <c r="H14" s="98" t="n"/>
      <c r="I14" s="98" t="n"/>
      <c r="J14" s="101" t="n"/>
      <c r="K14" s="112" t="n"/>
      <c r="L14" s="112" t="n"/>
      <c r="M14" s="112" t="n"/>
      <c r="N14" s="112" t="n"/>
      <c r="O14" s="112" t="n"/>
      <c r="P14" s="98" t="n"/>
      <c r="Q14" s="101" t="n"/>
      <c r="R14" s="101" t="n"/>
      <c r="S14" s="101" t="n"/>
      <c r="T14" s="101" t="n"/>
      <c r="U14" s="101" t="n"/>
      <c r="V14" s="98" t="n"/>
      <c r="W14" s="98" t="n"/>
      <c r="X14" s="101" t="n"/>
      <c r="Y14" s="101" t="n"/>
      <c r="Z14" s="101" t="n"/>
      <c r="AA14" s="101" t="n"/>
      <c r="AB14" s="101" t="n"/>
      <c r="AC14" s="98" t="n"/>
      <c r="AD14" s="98" t="n"/>
      <c r="AE14" s="101" t="n"/>
      <c r="AF14" s="101" t="n"/>
      <c r="AG14" s="101" t="n"/>
      <c r="AH14" s="101" t="n"/>
    </row>
    <row r="15" ht="16" customHeight="1" s="82">
      <c r="A15" s="110" t="inlineStr">
        <is>
          <t>Tài</t>
        </is>
      </c>
      <c r="B15" s="144" t="inlineStr">
        <is>
          <t>Quản lý Dân cư</t>
        </is>
      </c>
      <c r="C15" s="139" t="inlineStr">
        <is>
          <t>Activity &amp; Flow diagram</t>
        </is>
      </c>
      <c r="D15" s="97" t="n"/>
      <c r="E15" s="97" t="n"/>
      <c r="F15" s="97" t="n"/>
      <c r="G15" s="97" t="n"/>
      <c r="H15" s="98" t="n"/>
      <c r="I15" s="98" t="n"/>
      <c r="J15" s="97" t="n"/>
      <c r="K15" s="97" t="n"/>
      <c r="L15" s="97" t="n"/>
      <c r="M15" s="97" t="n"/>
      <c r="N15" s="97" t="n"/>
      <c r="O15" s="98" t="n"/>
      <c r="P15" s="112" t="n"/>
      <c r="Q15" s="112" t="n"/>
      <c r="R15" s="112" t="n"/>
      <c r="S15" s="112" t="n"/>
      <c r="T15" s="112" t="n"/>
      <c r="U15" s="97" t="n"/>
      <c r="V15" s="98" t="n"/>
      <c r="W15" s="98" t="n"/>
      <c r="X15" s="97" t="n"/>
      <c r="Y15" s="97" t="n"/>
      <c r="Z15" s="97" t="n"/>
      <c r="AA15" s="97" t="n"/>
      <c r="AB15" s="97" t="n"/>
      <c r="AC15" s="98" t="n"/>
      <c r="AD15" s="98" t="n"/>
      <c r="AE15" s="97" t="n"/>
      <c r="AF15" s="97" t="n"/>
      <c r="AG15" s="97" t="n"/>
      <c r="AH15" s="97" t="n"/>
    </row>
    <row r="16" ht="16" customHeight="1" s="82">
      <c r="A16" s="110" t="inlineStr">
        <is>
          <t>Tài</t>
        </is>
      </c>
      <c r="B16" s="144" t="inlineStr">
        <is>
          <t>Quản lý Dân cư</t>
        </is>
      </c>
      <c r="C16" s="140" t="inlineStr">
        <is>
          <t>ERD &amp; DB Schema</t>
        </is>
      </c>
      <c r="D16" s="101" t="n"/>
      <c r="E16" s="101" t="n"/>
      <c r="F16" s="101" t="n"/>
      <c r="G16" s="101" t="n"/>
      <c r="H16" s="98" t="n"/>
      <c r="I16" s="98" t="n"/>
      <c r="J16" s="101" t="n"/>
      <c r="K16" s="101" t="n"/>
      <c r="L16" s="101" t="n"/>
      <c r="M16" s="101" t="n"/>
      <c r="N16" s="101" t="n"/>
      <c r="O16" s="98" t="n"/>
      <c r="P16" s="98" t="n"/>
      <c r="Q16" s="101" t="n"/>
      <c r="R16" s="101" t="n"/>
      <c r="S16" s="101" t="n"/>
      <c r="T16" s="101" t="n"/>
      <c r="U16" s="112" t="n"/>
      <c r="V16" s="112" t="n"/>
      <c r="W16" s="112" t="n"/>
      <c r="X16" s="112" t="n"/>
      <c r="Y16" s="112" t="n"/>
      <c r="Z16" s="112" t="n"/>
      <c r="AA16" s="112" t="n"/>
      <c r="AB16" s="101" t="n"/>
      <c r="AC16" s="98" t="n"/>
      <c r="AD16" s="98" t="n"/>
      <c r="AE16" s="101" t="n"/>
      <c r="AF16" s="101" t="n"/>
      <c r="AG16" s="101" t="n"/>
      <c r="AH16" s="101" t="n"/>
    </row>
    <row r="17" ht="16" customHeight="1" s="82">
      <c r="A17" s="110" t="inlineStr">
        <is>
          <t>Tài</t>
        </is>
      </c>
      <c r="B17" s="144" t="inlineStr">
        <is>
          <t>Quản lý Dân cư</t>
        </is>
      </c>
      <c r="C17" s="139" t="inlineStr">
        <is>
          <t>BA Spec &amp; Tài liệu</t>
        </is>
      </c>
      <c r="D17" s="97" t="n"/>
      <c r="E17" s="97" t="n"/>
      <c r="F17" s="97" t="n"/>
      <c r="G17" s="97" t="n"/>
      <c r="H17" s="98" t="n"/>
      <c r="I17" s="98" t="n"/>
      <c r="J17" s="97" t="n"/>
      <c r="K17" s="97" t="n"/>
      <c r="L17" s="97" t="n"/>
      <c r="M17" s="97" t="n"/>
      <c r="N17" s="97" t="n"/>
      <c r="O17" s="98" t="n"/>
      <c r="P17" s="98" t="n"/>
      <c r="Q17" s="97" t="n"/>
      <c r="R17" s="97" t="n"/>
      <c r="S17" s="97" t="n"/>
      <c r="T17" s="97" t="n"/>
      <c r="U17" s="97" t="n"/>
      <c r="V17" s="98" t="n"/>
      <c r="W17" s="98" t="n"/>
      <c r="X17" s="97" t="n"/>
      <c r="Y17" s="97" t="n"/>
      <c r="Z17" s="97" t="n"/>
      <c r="AA17" s="97" t="n"/>
      <c r="AB17" s="112" t="n"/>
      <c r="AC17" s="112" t="n"/>
      <c r="AD17" s="112" t="n"/>
      <c r="AE17" s="112" t="n"/>
      <c r="AF17" s="112" t="n"/>
      <c r="AG17" s="112" t="n"/>
      <c r="AH17" s="112" t="n"/>
    </row>
  </sheetData>
  <mergeCells count="1">
    <mergeCell ref="A1:A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2026-07-31T07:38:54Z</dcterms:created>
  <dcterms:modified xmlns:dcterms="http://purl.org/dc/terms/" xmlns:xsi="http://www.w3.org/2001/XMLSchema-instance" xsi:type="dcterms:W3CDTF">2026-07-31T07:38:54Z</dcterms:modified>
</cp:coreProperties>
</file>